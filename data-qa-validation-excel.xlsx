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57\EXCELCNV\5a3fc437-d9ce-4cc3-a3e1-ccbeb7e2a715\"/>
    </mc:Choice>
  </mc:AlternateContent>
  <xr:revisionPtr revIDLastSave="0" documentId="8_{CF0E21AD-F50B-4F3E-B4AE-F246F6F8281E}" xr6:coauthVersionLast="47" xr6:coauthVersionMax="47" xr10:uidLastSave="{00000000-0000-0000-0000-000000000000}"/>
  <bookViews>
    <workbookView xWindow="-60" yWindow="-60" windowWidth="15480" windowHeight="11640" xr2:uid="{87682704-2DB8-4406-AC80-538EF453E2E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U501" i="1" s="1"/>
  <c r="P274" i="1"/>
  <c r="P40" i="1"/>
  <c r="P345" i="1"/>
  <c r="P220" i="1"/>
  <c r="P130" i="1"/>
  <c r="P77" i="1"/>
  <c r="P125" i="1"/>
  <c r="P443" i="1"/>
  <c r="P283" i="1"/>
  <c r="P78" i="1"/>
  <c r="P240" i="1"/>
  <c r="P83" i="1"/>
  <c r="P145" i="1"/>
  <c r="P482" i="1"/>
  <c r="P357" i="1"/>
  <c r="P455" i="1"/>
  <c r="P420" i="1"/>
  <c r="P407" i="1"/>
  <c r="P129" i="1"/>
  <c r="P395" i="1"/>
  <c r="P168" i="1"/>
  <c r="P178" i="1"/>
  <c r="P195" i="1"/>
  <c r="P199" i="1"/>
  <c r="P163" i="1"/>
  <c r="P169" i="1"/>
  <c r="P229" i="1"/>
  <c r="P237" i="1"/>
  <c r="P244" i="1"/>
  <c r="P225" i="1"/>
  <c r="P235" i="1"/>
  <c r="P266" i="1"/>
  <c r="P272" i="1"/>
  <c r="P271" i="1"/>
  <c r="P258" i="1"/>
  <c r="P259" i="1"/>
  <c r="P288" i="1"/>
  <c r="P296" i="1"/>
  <c r="P354" i="1"/>
  <c r="P316" i="1"/>
  <c r="P325" i="1"/>
  <c r="P317" i="1"/>
  <c r="P321" i="1"/>
  <c r="P349" i="1"/>
  <c r="P371" i="1"/>
  <c r="P373" i="1"/>
  <c r="P365" i="1"/>
  <c r="P409" i="1"/>
  <c r="P425" i="1"/>
  <c r="P447" i="1"/>
  <c r="P432" i="1"/>
  <c r="P474" i="1"/>
  <c r="P501" i="1"/>
  <c r="P485" i="1"/>
  <c r="P486" i="1"/>
  <c r="P497" i="1"/>
  <c r="P389" i="1"/>
  <c r="P405" i="1"/>
  <c r="P376" i="1"/>
  <c r="P423" i="1"/>
  <c r="P446" i="1"/>
  <c r="P424" i="1"/>
  <c r="P448" i="1"/>
  <c r="P416" i="1"/>
  <c r="P428" i="1"/>
  <c r="P468" i="1"/>
  <c r="P487" i="1"/>
  <c r="P457" i="1"/>
  <c r="P449" i="1"/>
  <c r="P459" i="1"/>
  <c r="P52" i="1"/>
  <c r="P21" i="1"/>
  <c r="P49" i="1"/>
  <c r="P7" i="1"/>
  <c r="P55" i="1"/>
  <c r="P33" i="1"/>
  <c r="P39" i="1"/>
  <c r="P23" i="1"/>
  <c r="P35" i="1"/>
  <c r="P51" i="1"/>
  <c r="P65" i="1"/>
  <c r="P72" i="1"/>
  <c r="P96" i="1"/>
  <c r="P87" i="1"/>
  <c r="P139" i="1"/>
  <c r="P157" i="1"/>
  <c r="P117" i="1"/>
  <c r="P144" i="1"/>
  <c r="P114" i="1"/>
  <c r="P183" i="1"/>
  <c r="P198" i="1"/>
  <c r="P187" i="1"/>
  <c r="P171" i="1"/>
  <c r="P197" i="1"/>
  <c r="P161" i="1"/>
  <c r="P177" i="1"/>
  <c r="P207" i="1"/>
  <c r="P232" i="1"/>
  <c r="P242" i="1"/>
  <c r="P251" i="1"/>
  <c r="P294" i="1"/>
  <c r="P302" i="1"/>
  <c r="P262" i="1"/>
  <c r="P300" i="1"/>
  <c r="P264" i="1"/>
  <c r="P318" i="1"/>
  <c r="P319" i="1"/>
  <c r="P308" i="1"/>
  <c r="P347" i="1"/>
  <c r="P392" i="1"/>
  <c r="P381" i="1"/>
  <c r="P388" i="1"/>
  <c r="P390" i="1"/>
  <c r="P358" i="1"/>
  <c r="P47" i="1"/>
  <c r="P248" i="1"/>
  <c r="P13" i="1"/>
  <c r="P415" i="1"/>
  <c r="P483" i="1"/>
  <c r="P11" i="1"/>
  <c r="P63" i="1"/>
  <c r="P59" i="1"/>
  <c r="P44" i="1"/>
  <c r="P38" i="1"/>
  <c r="P86" i="1"/>
  <c r="P89" i="1"/>
  <c r="P68" i="1"/>
  <c r="P81" i="1"/>
  <c r="P110" i="1"/>
  <c r="P122" i="1"/>
  <c r="P115" i="1"/>
  <c r="P141" i="1"/>
  <c r="P152" i="1"/>
  <c r="P159" i="1"/>
  <c r="P191" i="1"/>
  <c r="P132" i="1"/>
  <c r="P496" i="1"/>
  <c r="P148" i="1"/>
  <c r="P155" i="1"/>
  <c r="P304" i="1"/>
  <c r="P172" i="1"/>
  <c r="P156" i="1"/>
  <c r="P421" i="1"/>
  <c r="P146" i="1"/>
  <c r="P127" i="1"/>
  <c r="P404" i="1"/>
  <c r="P282" i="1"/>
  <c r="P467" i="1"/>
  <c r="P118" i="1"/>
  <c r="P491" i="1"/>
  <c r="P469" i="1"/>
  <c r="P205" i="1"/>
  <c r="P255" i="1"/>
  <c r="P257" i="1"/>
  <c r="P265" i="1"/>
  <c r="P174" i="1"/>
  <c r="P121" i="1"/>
  <c r="P303" i="1"/>
  <c r="P330" i="1"/>
  <c r="P34" i="1"/>
  <c r="P123" i="1"/>
  <c r="P293" i="1"/>
  <c r="P297" i="1"/>
  <c r="P356" i="1"/>
  <c r="P10" i="1"/>
  <c r="P85" i="1"/>
  <c r="P327" i="1"/>
  <c r="P88" i="1"/>
  <c r="P236" i="1"/>
  <c r="P56" i="1"/>
  <c r="P5" i="1"/>
  <c r="P301" i="1"/>
  <c r="P324" i="1"/>
  <c r="P386" i="1"/>
  <c r="P378" i="1"/>
  <c r="P466" i="1"/>
  <c r="P200" i="1"/>
  <c r="P210" i="1"/>
  <c r="P186" i="1"/>
  <c r="P215" i="1"/>
  <c r="P383" i="1"/>
  <c r="P253" i="1"/>
  <c r="P285" i="1"/>
  <c r="P472" i="1"/>
  <c r="P256" i="1"/>
  <c r="P418" i="1"/>
  <c r="P165" i="1"/>
  <c r="P394" i="1"/>
  <c r="P43" i="1"/>
  <c r="P53" i="1"/>
  <c r="P465" i="1"/>
  <c r="P61" i="1"/>
  <c r="P351" i="1"/>
  <c r="P348" i="1"/>
  <c r="P218" i="1"/>
  <c r="P361" i="1"/>
  <c r="P27" i="1"/>
  <c r="P250" i="1"/>
  <c r="P367" i="1"/>
  <c r="P93" i="1"/>
  <c r="P287" i="1"/>
  <c r="P489" i="1"/>
  <c r="P54" i="1"/>
  <c r="P143" i="1"/>
  <c r="P414" i="1"/>
  <c r="P162" i="1"/>
  <c r="P493" i="1"/>
  <c r="P4" i="1"/>
  <c r="P284" i="1"/>
  <c r="P478" i="1"/>
  <c r="P305" i="1"/>
  <c r="P400" i="1"/>
  <c r="P20" i="1"/>
  <c r="P355" i="1"/>
  <c r="P50" i="1"/>
  <c r="P343" i="1"/>
  <c r="P433" i="1"/>
  <c r="P442" i="1"/>
  <c r="P173" i="1"/>
  <c r="P374" i="1"/>
  <c r="P353" i="1"/>
  <c r="P464" i="1"/>
  <c r="P147" i="1"/>
  <c r="P64" i="1"/>
  <c r="P150" i="1"/>
  <c r="P60" i="1"/>
  <c r="P346" i="1"/>
  <c r="P133" i="1"/>
  <c r="P334" i="1"/>
  <c r="P94" i="1"/>
  <c r="P500" i="1"/>
  <c r="P16" i="1"/>
  <c r="P458" i="1"/>
  <c r="P101" i="1"/>
  <c r="P224" i="1"/>
  <c r="P19" i="1"/>
  <c r="P441" i="1"/>
  <c r="P202" i="1"/>
  <c r="P260" i="1"/>
  <c r="P368" i="1"/>
  <c r="P322" i="1"/>
  <c r="P26" i="1"/>
  <c r="P119" i="1"/>
  <c r="P479" i="1"/>
  <c r="P228" i="1"/>
  <c r="P417" i="1"/>
  <c r="P73" i="1"/>
  <c r="P331" i="1"/>
  <c r="P158" i="1"/>
  <c r="P377" i="1"/>
  <c r="P268" i="1"/>
  <c r="P295" i="1"/>
  <c r="P214" i="1"/>
  <c r="P138" i="1"/>
  <c r="P204" i="1"/>
  <c r="P492" i="1"/>
  <c r="P494" i="1"/>
  <c r="P336" i="1"/>
  <c r="P481" i="1"/>
  <c r="P9" i="1"/>
  <c r="P384" i="1"/>
  <c r="P276" i="1"/>
  <c r="P230" i="1"/>
  <c r="P451" i="1"/>
  <c r="P90" i="1"/>
  <c r="P369" i="1"/>
  <c r="P380" i="1"/>
  <c r="P92" i="1"/>
  <c r="P91" i="1"/>
  <c r="P212" i="1"/>
  <c r="P411" i="1"/>
  <c r="P41" i="1"/>
  <c r="P62" i="1"/>
  <c r="P196" i="1"/>
  <c r="P106" i="1"/>
  <c r="P8" i="1"/>
  <c r="P151" i="1"/>
  <c r="P189" i="1"/>
  <c r="P80" i="1"/>
  <c r="P314" i="1"/>
  <c r="P363" i="1"/>
  <c r="P403" i="1"/>
  <c r="P233" i="1"/>
  <c r="P280" i="1"/>
  <c r="P332" i="1"/>
  <c r="P320" i="1"/>
  <c r="P84" i="1"/>
  <c r="P412" i="1"/>
  <c r="P436" i="1"/>
  <c r="P97" i="1"/>
  <c r="P116" i="1"/>
  <c r="P243" i="1"/>
  <c r="P337" i="1"/>
  <c r="P135" i="1"/>
  <c r="P128" i="1"/>
  <c r="P382" i="1"/>
  <c r="P201" i="1"/>
  <c r="P76" i="1"/>
  <c r="P273" i="1"/>
  <c r="P209" i="1"/>
  <c r="P252" i="1"/>
  <c r="P180" i="1"/>
  <c r="P184" i="1"/>
  <c r="P206" i="1"/>
  <c r="P406" i="1"/>
  <c r="P460" i="1"/>
  <c r="P82" i="1"/>
  <c r="P194" i="1"/>
  <c r="P471" i="1"/>
  <c r="P140" i="1"/>
  <c r="P269" i="1"/>
  <c r="P495" i="1"/>
  <c r="P249" i="1"/>
  <c r="P12" i="1"/>
  <c r="P126" i="1"/>
  <c r="P413" i="1"/>
  <c r="P402" i="1"/>
  <c r="P31" i="1"/>
  <c r="P335" i="1"/>
  <c r="P216" i="1"/>
  <c r="P484" i="1"/>
  <c r="P102" i="1"/>
  <c r="P227" i="1"/>
  <c r="P397" i="1"/>
  <c r="P166" i="1"/>
  <c r="P37" i="1"/>
  <c r="P137" i="1"/>
  <c r="P2" i="1"/>
  <c r="P291" i="1"/>
  <c r="P298" i="1"/>
  <c r="P142" i="1"/>
  <c r="P476" i="1"/>
  <c r="P170" i="1"/>
  <c r="P99" i="1"/>
  <c r="P241" i="1"/>
  <c r="P239" i="1"/>
  <c r="P113" i="1"/>
  <c r="P66" i="1"/>
  <c r="P477" i="1"/>
  <c r="P434" i="1"/>
  <c r="P299" i="1"/>
  <c r="P379" i="1"/>
  <c r="P292" i="1"/>
  <c r="P286" i="1"/>
  <c r="P473" i="1"/>
  <c r="P344" i="1"/>
  <c r="P372" i="1"/>
  <c r="P307" i="1"/>
  <c r="P275" i="1"/>
  <c r="P339" i="1"/>
  <c r="P46" i="1"/>
  <c r="P203" i="1"/>
  <c r="P454" i="1"/>
  <c r="P338" i="1"/>
  <c r="P57" i="1"/>
  <c r="P217" i="1"/>
  <c r="P391" i="1"/>
  <c r="P181" i="1"/>
  <c r="P462" i="1"/>
  <c r="P14" i="1"/>
  <c r="P185" i="1"/>
  <c r="P429" i="1"/>
  <c r="P104" i="1"/>
  <c r="P270" i="1"/>
  <c r="P370" i="1"/>
  <c r="P435" i="1"/>
  <c r="P364" i="1"/>
  <c r="P362" i="1"/>
  <c r="P154" i="1"/>
  <c r="P70" i="1"/>
  <c r="P398" i="1"/>
  <c r="P221" i="1"/>
  <c r="P109" i="1"/>
  <c r="P261" i="1"/>
  <c r="P313" i="1"/>
  <c r="P17" i="1"/>
  <c r="P231" i="1"/>
  <c r="P450" i="1"/>
  <c r="P329" i="1"/>
  <c r="P36" i="1"/>
  <c r="P399" i="1"/>
  <c r="P58" i="1"/>
  <c r="P431" i="1"/>
  <c r="P18" i="1"/>
  <c r="P328" i="1"/>
  <c r="P103" i="1"/>
  <c r="P222" i="1"/>
  <c r="P437" i="1"/>
  <c r="P456" i="1"/>
  <c r="P108" i="1"/>
  <c r="P192" i="1"/>
  <c r="P440" i="1"/>
  <c r="P323" i="1"/>
  <c r="P42" i="1"/>
  <c r="P289" i="1"/>
  <c r="P179" i="1"/>
  <c r="P32" i="1"/>
  <c r="P234" i="1"/>
  <c r="P311" i="1"/>
  <c r="P408" i="1"/>
  <c r="P326" i="1"/>
  <c r="P350" i="1"/>
  <c r="P401" i="1"/>
  <c r="P254" i="1"/>
  <c r="P419" i="1"/>
  <c r="P226" i="1"/>
  <c r="P188" i="1"/>
  <c r="P69" i="1"/>
  <c r="P498" i="1"/>
  <c r="P24" i="1"/>
  <c r="P279" i="1"/>
  <c r="P208" i="1"/>
  <c r="P342" i="1"/>
  <c r="P430" i="1"/>
  <c r="P444" i="1"/>
  <c r="P67" i="1"/>
  <c r="P385" i="1"/>
  <c r="P167" i="1"/>
  <c r="P30" i="1"/>
  <c r="P267" i="1"/>
  <c r="P182" i="1"/>
  <c r="P153" i="1"/>
  <c r="P461" i="1"/>
  <c r="P427" i="1"/>
  <c r="P105" i="1"/>
  <c r="P136" i="1"/>
  <c r="P422" i="1"/>
  <c r="P95" i="1"/>
  <c r="P410" i="1"/>
  <c r="P107" i="1"/>
  <c r="P213" i="1"/>
  <c r="P211" i="1"/>
  <c r="P439" i="1"/>
  <c r="P190" i="1"/>
  <c r="P281" i="1"/>
  <c r="P263" i="1"/>
  <c r="P223" i="1"/>
  <c r="P71" i="1"/>
  <c r="P470" i="1"/>
  <c r="P306" i="1"/>
  <c r="P341" i="1"/>
  <c r="P28" i="1"/>
  <c r="P246" i="1"/>
  <c r="P475" i="1"/>
  <c r="P25" i="1"/>
  <c r="P15" i="1"/>
  <c r="P100" i="1"/>
  <c r="P360" i="1"/>
  <c r="P490" i="1"/>
  <c r="P453" i="1"/>
  <c r="P29" i="1"/>
  <c r="P175" i="1"/>
  <c r="P290" i="1"/>
  <c r="P340" i="1"/>
  <c r="P463" i="1"/>
  <c r="P315" i="1"/>
  <c r="P393" i="1"/>
  <c r="P445" i="1"/>
  <c r="P488" i="1"/>
  <c r="P480" i="1"/>
  <c r="P247" i="1"/>
  <c r="P149" i="1"/>
  <c r="P238" i="1"/>
  <c r="P74" i="1"/>
  <c r="P309" i="1"/>
  <c r="P3" i="1"/>
  <c r="P352" i="1"/>
  <c r="P366" i="1"/>
  <c r="P245" i="1"/>
  <c r="P333" i="1"/>
  <c r="P111" i="1"/>
  <c r="P499" i="1"/>
  <c r="P131" i="1"/>
  <c r="P22" i="1"/>
  <c r="P359" i="1"/>
  <c r="P112" i="1"/>
  <c r="P160" i="1"/>
  <c r="P79" i="1"/>
  <c r="P124" i="1"/>
  <c r="P45" i="1"/>
  <c r="P6" i="1"/>
  <c r="P426" i="1"/>
  <c r="P193" i="1"/>
  <c r="P164" i="1"/>
  <c r="P176" i="1"/>
  <c r="P387" i="1"/>
  <c r="P438" i="1"/>
  <c r="P312" i="1"/>
  <c r="P277" i="1"/>
  <c r="P219" i="1"/>
  <c r="P75" i="1"/>
  <c r="P452" i="1"/>
  <c r="P278" i="1"/>
  <c r="P98" i="1"/>
  <c r="P120" i="1"/>
  <c r="P134" i="1"/>
  <c r="P310" i="1"/>
  <c r="P375" i="1"/>
  <c r="P48" i="1"/>
  <c r="O172" i="1"/>
  <c r="O156" i="1"/>
  <c r="O421" i="1"/>
  <c r="O146" i="1"/>
  <c r="O127" i="1"/>
  <c r="O404" i="1"/>
  <c r="O282" i="1"/>
  <c r="O467" i="1"/>
  <c r="O118" i="1"/>
  <c r="O491" i="1"/>
  <c r="O469" i="1"/>
  <c r="O47" i="1"/>
  <c r="O248" i="1"/>
  <c r="O13" i="1"/>
  <c r="O415" i="1"/>
  <c r="O483" i="1"/>
  <c r="O11" i="1"/>
  <c r="O63" i="1"/>
  <c r="O59" i="1"/>
  <c r="O44" i="1"/>
  <c r="O38" i="1"/>
  <c r="O86" i="1"/>
  <c r="O89" i="1"/>
  <c r="O68" i="1"/>
  <c r="O81" i="1"/>
  <c r="O110" i="1"/>
  <c r="O122" i="1"/>
  <c r="O115" i="1"/>
  <c r="O141" i="1"/>
  <c r="O152" i="1"/>
  <c r="O159" i="1"/>
  <c r="O191" i="1"/>
  <c r="O187" i="1"/>
  <c r="O171" i="1"/>
  <c r="O197" i="1"/>
  <c r="O161" i="1"/>
  <c r="O177" i="1"/>
  <c r="O207" i="1"/>
  <c r="O232" i="1"/>
  <c r="O242" i="1"/>
  <c r="O251" i="1"/>
  <c r="O294" i="1"/>
  <c r="O302" i="1"/>
  <c r="O262" i="1"/>
  <c r="O300" i="1"/>
  <c r="O264" i="1"/>
  <c r="O318" i="1"/>
  <c r="O319" i="1"/>
  <c r="O308" i="1"/>
  <c r="O347" i="1"/>
  <c r="O392" i="1"/>
  <c r="O381" i="1"/>
  <c r="O388" i="1"/>
  <c r="O390" i="1"/>
  <c r="O358" i="1"/>
  <c r="O389" i="1"/>
  <c r="O405" i="1"/>
  <c r="O376" i="1"/>
  <c r="O423" i="1"/>
  <c r="O446" i="1"/>
  <c r="O424" i="1"/>
  <c r="O448" i="1"/>
  <c r="O416" i="1"/>
  <c r="O428" i="1"/>
  <c r="O468" i="1"/>
  <c r="O487" i="1"/>
  <c r="O457" i="1"/>
  <c r="O449" i="1"/>
  <c r="O459" i="1"/>
  <c r="O52" i="1"/>
  <c r="O21" i="1"/>
  <c r="O49" i="1"/>
  <c r="O7" i="1"/>
  <c r="O55" i="1"/>
  <c r="O33" i="1"/>
  <c r="O39" i="1"/>
  <c r="O23" i="1"/>
  <c r="O35" i="1"/>
  <c r="O51" i="1"/>
  <c r="O65" i="1"/>
  <c r="O72" i="1"/>
  <c r="O96" i="1"/>
  <c r="O87" i="1"/>
  <c r="O139" i="1"/>
  <c r="O157" i="1"/>
  <c r="O117" i="1"/>
  <c r="O144" i="1"/>
  <c r="O114" i="1"/>
  <c r="O183" i="1"/>
  <c r="O198" i="1"/>
  <c r="O168" i="1"/>
  <c r="O178" i="1"/>
  <c r="O195" i="1"/>
  <c r="O199" i="1"/>
  <c r="O163" i="1"/>
  <c r="O169" i="1"/>
  <c r="O229" i="1"/>
  <c r="O237" i="1"/>
  <c r="O244" i="1"/>
  <c r="O225" i="1"/>
  <c r="O235" i="1"/>
  <c r="O266" i="1"/>
  <c r="O272" i="1"/>
  <c r="O271" i="1"/>
  <c r="O258" i="1"/>
  <c r="O259" i="1"/>
  <c r="O288" i="1"/>
  <c r="O296" i="1"/>
  <c r="O354" i="1"/>
  <c r="O316" i="1"/>
  <c r="O325" i="1"/>
  <c r="O317" i="1"/>
  <c r="O321" i="1"/>
  <c r="O349" i="1"/>
  <c r="O371" i="1"/>
  <c r="O373" i="1"/>
  <c r="O365" i="1"/>
  <c r="O409" i="1"/>
  <c r="O425" i="1"/>
  <c r="O447" i="1"/>
  <c r="O432" i="1"/>
  <c r="O474" i="1"/>
  <c r="O501" i="1"/>
  <c r="O485" i="1"/>
  <c r="O486" i="1"/>
  <c r="O497" i="1"/>
  <c r="O274" i="1"/>
  <c r="O40" i="1"/>
  <c r="O345" i="1"/>
  <c r="O220" i="1"/>
  <c r="O130" i="1"/>
  <c r="O77" i="1"/>
  <c r="O125" i="1"/>
  <c r="O443" i="1"/>
  <c r="O283" i="1"/>
  <c r="O78" i="1"/>
  <c r="O240" i="1"/>
  <c r="O83" i="1"/>
  <c r="O145" i="1"/>
  <c r="O482" i="1"/>
  <c r="O357" i="1"/>
  <c r="O455" i="1"/>
  <c r="O420" i="1"/>
  <c r="O407" i="1"/>
  <c r="O129" i="1"/>
  <c r="O395" i="1"/>
  <c r="O378" i="1"/>
  <c r="O466" i="1"/>
  <c r="O200" i="1"/>
  <c r="O210" i="1"/>
  <c r="O205" i="1"/>
  <c r="O255" i="1"/>
  <c r="O257" i="1"/>
  <c r="O265" i="1"/>
  <c r="O174" i="1"/>
  <c r="O121" i="1"/>
  <c r="O303" i="1"/>
  <c r="O330" i="1"/>
  <c r="O34" i="1"/>
  <c r="O123" i="1"/>
  <c r="O293" i="1"/>
  <c r="O297" i="1"/>
  <c r="O356" i="1"/>
  <c r="O10" i="1"/>
  <c r="O132" i="1"/>
  <c r="O496" i="1"/>
  <c r="O148" i="1"/>
  <c r="O155" i="1"/>
  <c r="O304" i="1"/>
  <c r="O367" i="1"/>
  <c r="O93" i="1"/>
  <c r="O287" i="1"/>
  <c r="O489" i="1"/>
  <c r="O54" i="1"/>
  <c r="O143" i="1"/>
  <c r="O414" i="1"/>
  <c r="O162" i="1"/>
  <c r="O493" i="1"/>
  <c r="O4" i="1"/>
  <c r="O284" i="1"/>
  <c r="O478" i="1"/>
  <c r="O305" i="1"/>
  <c r="O400" i="1"/>
  <c r="O20" i="1"/>
  <c r="O355" i="1"/>
  <c r="O50" i="1"/>
  <c r="O343" i="1"/>
  <c r="O433" i="1"/>
  <c r="O442" i="1"/>
  <c r="O173" i="1"/>
  <c r="O374" i="1"/>
  <c r="O85" i="1"/>
  <c r="O327" i="1"/>
  <c r="O88" i="1"/>
  <c r="O236" i="1"/>
  <c r="O56" i="1"/>
  <c r="O5" i="1"/>
  <c r="O301" i="1"/>
  <c r="O324" i="1"/>
  <c r="O386" i="1"/>
  <c r="O383" i="1"/>
  <c r="O253" i="1"/>
  <c r="O285" i="1"/>
  <c r="O472" i="1"/>
  <c r="O256" i="1"/>
  <c r="O418" i="1"/>
  <c r="O165" i="1"/>
  <c r="O394" i="1"/>
  <c r="O43" i="1"/>
  <c r="O53" i="1"/>
  <c r="O465" i="1"/>
  <c r="O61" i="1"/>
  <c r="O351" i="1"/>
  <c r="O348" i="1"/>
  <c r="O218" i="1"/>
  <c r="O361" i="1"/>
  <c r="O27" i="1"/>
  <c r="O250" i="1"/>
  <c r="O80" i="1"/>
  <c r="O314" i="1"/>
  <c r="O363" i="1"/>
  <c r="O403" i="1"/>
  <c r="O233" i="1"/>
  <c r="O280" i="1"/>
  <c r="O332" i="1"/>
  <c r="O320" i="1"/>
  <c r="O84" i="1"/>
  <c r="O412" i="1"/>
  <c r="O436" i="1"/>
  <c r="O97" i="1"/>
  <c r="O186" i="1"/>
  <c r="O215" i="1"/>
  <c r="O92" i="1"/>
  <c r="O91" i="1"/>
  <c r="O212" i="1"/>
  <c r="O411" i="1"/>
  <c r="O41" i="1"/>
  <c r="O62" i="1"/>
  <c r="O196" i="1"/>
  <c r="O106" i="1"/>
  <c r="O8" i="1"/>
  <c r="O151" i="1"/>
  <c r="O189" i="1"/>
  <c r="O206" i="1"/>
  <c r="O406" i="1"/>
  <c r="O460" i="1"/>
  <c r="O82" i="1"/>
  <c r="O194" i="1"/>
  <c r="O471" i="1"/>
  <c r="O140" i="1"/>
  <c r="O269" i="1"/>
  <c r="O495" i="1"/>
  <c r="O249" i="1"/>
  <c r="O12" i="1"/>
  <c r="O126" i="1"/>
  <c r="O413" i="1"/>
  <c r="O402" i="1"/>
  <c r="O31" i="1"/>
  <c r="O335" i="1"/>
  <c r="O216" i="1"/>
  <c r="O484" i="1"/>
  <c r="O102" i="1"/>
  <c r="O227" i="1"/>
  <c r="O397" i="1"/>
  <c r="O166" i="1"/>
  <c r="O37" i="1"/>
  <c r="O137" i="1"/>
  <c r="O2" i="1"/>
  <c r="O291" i="1"/>
  <c r="O298" i="1"/>
  <c r="O142" i="1"/>
  <c r="O476" i="1"/>
  <c r="O170" i="1"/>
  <c r="O99" i="1"/>
  <c r="O241" i="1"/>
  <c r="O239" i="1"/>
  <c r="O113" i="1"/>
  <c r="O66" i="1"/>
  <c r="O477" i="1"/>
  <c r="O434" i="1"/>
  <c r="O299" i="1"/>
  <c r="O379" i="1"/>
  <c r="O292" i="1"/>
  <c r="O286" i="1"/>
  <c r="O473" i="1"/>
  <c r="O344" i="1"/>
  <c r="O372" i="1"/>
  <c r="O307" i="1"/>
  <c r="O275" i="1"/>
  <c r="O339" i="1"/>
  <c r="O46" i="1"/>
  <c r="O203" i="1"/>
  <c r="O454" i="1"/>
  <c r="O338" i="1"/>
  <c r="O57" i="1"/>
  <c r="O217" i="1"/>
  <c r="O391" i="1"/>
  <c r="O181" i="1"/>
  <c r="O462" i="1"/>
  <c r="O14" i="1"/>
  <c r="O185" i="1"/>
  <c r="O429" i="1"/>
  <c r="O104" i="1"/>
  <c r="O270" i="1"/>
  <c r="O370" i="1"/>
  <c r="O435" i="1"/>
  <c r="O364" i="1"/>
  <c r="O362" i="1"/>
  <c r="O154" i="1"/>
  <c r="O70" i="1"/>
  <c r="O398" i="1"/>
  <c r="O221" i="1"/>
  <c r="O109" i="1"/>
  <c r="O261" i="1"/>
  <c r="O313" i="1"/>
  <c r="O17" i="1"/>
  <c r="O231" i="1"/>
  <c r="O450" i="1"/>
  <c r="O329" i="1"/>
  <c r="O36" i="1"/>
  <c r="O399" i="1"/>
  <c r="O58" i="1"/>
  <c r="O431" i="1"/>
  <c r="O18" i="1"/>
  <c r="O328" i="1"/>
  <c r="O103" i="1"/>
  <c r="O222" i="1"/>
  <c r="O353" i="1"/>
  <c r="O464" i="1"/>
  <c r="O147" i="1"/>
  <c r="O64" i="1"/>
  <c r="O150" i="1"/>
  <c r="O60" i="1"/>
  <c r="O346" i="1"/>
  <c r="O133" i="1"/>
  <c r="O334" i="1"/>
  <c r="O94" i="1"/>
  <c r="O500" i="1"/>
  <c r="O16" i="1"/>
  <c r="O458" i="1"/>
  <c r="O101" i="1"/>
  <c r="O224" i="1"/>
  <c r="O19" i="1"/>
  <c r="O441" i="1"/>
  <c r="O202" i="1"/>
  <c r="O260" i="1"/>
  <c r="O368" i="1"/>
  <c r="O322" i="1"/>
  <c r="O26" i="1"/>
  <c r="O119" i="1"/>
  <c r="O479" i="1"/>
  <c r="O228" i="1"/>
  <c r="O417" i="1"/>
  <c r="O73" i="1"/>
  <c r="O331" i="1"/>
  <c r="O158" i="1"/>
  <c r="O377" i="1"/>
  <c r="O268" i="1"/>
  <c r="O295" i="1"/>
  <c r="O214" i="1"/>
  <c r="O138" i="1"/>
  <c r="O204" i="1"/>
  <c r="O492" i="1"/>
  <c r="O494" i="1"/>
  <c r="O336" i="1"/>
  <c r="O481" i="1"/>
  <c r="O9" i="1"/>
  <c r="O384" i="1"/>
  <c r="O276" i="1"/>
  <c r="O230" i="1"/>
  <c r="O451" i="1"/>
  <c r="O90" i="1"/>
  <c r="O369" i="1"/>
  <c r="O380" i="1"/>
  <c r="O108" i="1"/>
  <c r="O192" i="1"/>
  <c r="O440" i="1"/>
  <c r="O323" i="1"/>
  <c r="O42" i="1"/>
  <c r="O289" i="1"/>
  <c r="O179" i="1"/>
  <c r="O32" i="1"/>
  <c r="O234" i="1"/>
  <c r="O311" i="1"/>
  <c r="O408" i="1"/>
  <c r="O326" i="1"/>
  <c r="O350" i="1"/>
  <c r="O401" i="1"/>
  <c r="O254" i="1"/>
  <c r="O419" i="1"/>
  <c r="O226" i="1"/>
  <c r="O188" i="1"/>
  <c r="O69" i="1"/>
  <c r="O498" i="1"/>
  <c r="O24" i="1"/>
  <c r="O279" i="1"/>
  <c r="O208" i="1"/>
  <c r="O342" i="1"/>
  <c r="O430" i="1"/>
  <c r="O444" i="1"/>
  <c r="O67" i="1"/>
  <c r="O385" i="1"/>
  <c r="O167" i="1"/>
  <c r="O30" i="1"/>
  <c r="O267" i="1"/>
  <c r="O182" i="1"/>
  <c r="O153" i="1"/>
  <c r="O461" i="1"/>
  <c r="O427" i="1"/>
  <c r="O105" i="1"/>
  <c r="O136" i="1"/>
  <c r="O422" i="1"/>
  <c r="O95" i="1"/>
  <c r="O410" i="1"/>
  <c r="O107" i="1"/>
  <c r="O213" i="1"/>
  <c r="O211" i="1"/>
  <c r="O439" i="1"/>
  <c r="O190" i="1"/>
  <c r="O281" i="1"/>
  <c r="O263" i="1"/>
  <c r="O223" i="1"/>
  <c r="O71" i="1"/>
  <c r="O470" i="1"/>
  <c r="O306" i="1"/>
  <c r="O341" i="1"/>
  <c r="O28" i="1"/>
  <c r="O246" i="1"/>
  <c r="O475" i="1"/>
  <c r="O25" i="1"/>
  <c r="O116" i="1"/>
  <c r="O243" i="1"/>
  <c r="O337" i="1"/>
  <c r="O135" i="1"/>
  <c r="O128" i="1"/>
  <c r="O382" i="1"/>
  <c r="O201" i="1"/>
  <c r="O76" i="1"/>
  <c r="O273" i="1"/>
  <c r="O209" i="1"/>
  <c r="O252" i="1"/>
  <c r="O180" i="1"/>
  <c r="O184" i="1"/>
  <c r="O120" i="1"/>
  <c r="O134" i="1"/>
  <c r="O310" i="1"/>
  <c r="O375" i="1"/>
  <c r="O48" i="1"/>
  <c r="O15" i="1"/>
  <c r="O100" i="1"/>
  <c r="O360" i="1"/>
  <c r="O490" i="1"/>
  <c r="O453" i="1"/>
  <c r="O29" i="1"/>
  <c r="O175" i="1"/>
  <c r="O290" i="1"/>
  <c r="O340" i="1"/>
  <c r="O437" i="1"/>
  <c r="O456" i="1"/>
  <c r="O452" i="1"/>
  <c r="O278" i="1"/>
  <c r="O98" i="1"/>
  <c r="O463" i="1"/>
  <c r="O315" i="1"/>
  <c r="O393" i="1"/>
  <c r="O445" i="1"/>
  <c r="O488" i="1"/>
  <c r="O480" i="1"/>
  <c r="O247" i="1"/>
  <c r="O149" i="1"/>
  <c r="O238" i="1"/>
  <c r="O74" i="1"/>
  <c r="O309" i="1"/>
  <c r="O3" i="1"/>
  <c r="O352" i="1"/>
  <c r="O366" i="1"/>
  <c r="O245" i="1"/>
  <c r="O333" i="1"/>
  <c r="O111" i="1"/>
  <c r="O499" i="1"/>
  <c r="O131" i="1"/>
  <c r="O22" i="1"/>
  <c r="O359" i="1"/>
  <c r="O112" i="1"/>
  <c r="O160" i="1"/>
  <c r="O79" i="1"/>
  <c r="O124" i="1"/>
  <c r="O45" i="1"/>
  <c r="O6" i="1"/>
  <c r="O426" i="1"/>
  <c r="O193" i="1"/>
  <c r="O164" i="1"/>
  <c r="O176" i="1"/>
  <c r="O387" i="1"/>
  <c r="O438" i="1"/>
  <c r="O312" i="1"/>
  <c r="O277" i="1"/>
  <c r="O219" i="1"/>
  <c r="O75" i="1"/>
  <c r="S143" i="1"/>
  <c r="S414" i="1"/>
  <c r="S162" i="1"/>
  <c r="S493" i="1"/>
  <c r="S4" i="1"/>
  <c r="S284" i="1"/>
  <c r="S478" i="1"/>
  <c r="S305" i="1"/>
  <c r="S400" i="1"/>
  <c r="S20" i="1"/>
  <c r="S355" i="1"/>
  <c r="S50" i="1"/>
  <c r="S343" i="1"/>
  <c r="S433" i="1"/>
  <c r="S442" i="1"/>
  <c r="S173" i="1"/>
  <c r="S374" i="1"/>
  <c r="S85" i="1"/>
  <c r="S327" i="1"/>
  <c r="S88" i="1"/>
  <c r="S236" i="1"/>
  <c r="S56" i="1"/>
  <c r="S5" i="1"/>
  <c r="S301" i="1"/>
  <c r="S324" i="1"/>
  <c r="S386" i="1"/>
  <c r="S378" i="1"/>
  <c r="S466" i="1"/>
  <c r="S200" i="1"/>
  <c r="S420" i="1"/>
  <c r="S210" i="1"/>
  <c r="S205" i="1"/>
  <c r="S255" i="1"/>
  <c r="S257" i="1"/>
  <c r="S265" i="1"/>
  <c r="S174" i="1"/>
  <c r="S121" i="1"/>
  <c r="S303" i="1"/>
  <c r="S330" i="1"/>
  <c r="S34" i="1"/>
  <c r="S123" i="1"/>
  <c r="S293" i="1"/>
  <c r="S297" i="1"/>
  <c r="S356" i="1"/>
  <c r="S10" i="1"/>
  <c r="S132" i="1"/>
  <c r="S496" i="1"/>
  <c r="S148" i="1"/>
  <c r="S155" i="1"/>
  <c r="S304" i="1"/>
  <c r="S172" i="1"/>
  <c r="S156" i="1"/>
  <c r="S421" i="1"/>
  <c r="S146" i="1"/>
  <c r="S127" i="1"/>
  <c r="S404" i="1"/>
  <c r="S282" i="1"/>
  <c r="S467" i="1"/>
  <c r="S118" i="1"/>
  <c r="S491" i="1"/>
  <c r="S469" i="1"/>
  <c r="S47" i="1"/>
  <c r="S248" i="1"/>
  <c r="S13" i="1"/>
  <c r="S415" i="1"/>
  <c r="S483" i="1"/>
  <c r="S11" i="1"/>
  <c r="S63" i="1"/>
  <c r="S59" i="1"/>
  <c r="S44" i="1"/>
  <c r="S38" i="1"/>
  <c r="S86" i="1"/>
  <c r="S89" i="1"/>
  <c r="S68" i="1"/>
  <c r="S81" i="1"/>
  <c r="S110" i="1"/>
  <c r="S122" i="1"/>
  <c r="S115" i="1"/>
  <c r="S141" i="1"/>
  <c r="S152" i="1"/>
  <c r="S159" i="1"/>
  <c r="S191" i="1"/>
  <c r="S187" i="1"/>
  <c r="S171" i="1"/>
  <c r="S197" i="1"/>
  <c r="S161" i="1"/>
  <c r="S177" i="1"/>
  <c r="S207" i="1"/>
  <c r="S232" i="1"/>
  <c r="S242" i="1"/>
  <c r="S251" i="1"/>
  <c r="S294" i="1"/>
  <c r="S302" i="1"/>
  <c r="S262" i="1"/>
  <c r="S300" i="1"/>
  <c r="S264" i="1"/>
  <c r="S318" i="1"/>
  <c r="S319" i="1"/>
  <c r="S308" i="1"/>
  <c r="S347" i="1"/>
  <c r="S392" i="1"/>
  <c r="S381" i="1"/>
  <c r="S388" i="1"/>
  <c r="S390" i="1"/>
  <c r="S358" i="1"/>
  <c r="S389" i="1"/>
  <c r="S405" i="1"/>
  <c r="S376" i="1"/>
  <c r="S423" i="1"/>
  <c r="S446" i="1"/>
  <c r="S424" i="1"/>
  <c r="S448" i="1"/>
  <c r="S416" i="1"/>
  <c r="S428" i="1"/>
  <c r="S407" i="1"/>
  <c r="S468" i="1"/>
  <c r="S487" i="1"/>
  <c r="S457" i="1"/>
  <c r="S449" i="1"/>
  <c r="S459" i="1"/>
  <c r="S52" i="1"/>
  <c r="S21" i="1"/>
  <c r="S49" i="1"/>
  <c r="S7" i="1"/>
  <c r="S55" i="1"/>
  <c r="S33" i="1"/>
  <c r="S39" i="1"/>
  <c r="S23" i="1"/>
  <c r="S35" i="1"/>
  <c r="S51" i="1"/>
  <c r="S65" i="1"/>
  <c r="S72" i="1"/>
  <c r="S96" i="1"/>
  <c r="S87" i="1"/>
  <c r="S139" i="1"/>
  <c r="S157" i="1"/>
  <c r="S117" i="1"/>
  <c r="S144" i="1"/>
  <c r="S129" i="1"/>
  <c r="S114" i="1"/>
  <c r="S183" i="1"/>
  <c r="S198" i="1"/>
  <c r="S168" i="1"/>
  <c r="S178" i="1"/>
  <c r="S195" i="1"/>
  <c r="S199" i="1"/>
  <c r="S163" i="1"/>
  <c r="S169" i="1"/>
  <c r="S229" i="1"/>
  <c r="S237" i="1"/>
  <c r="S244" i="1"/>
  <c r="S225" i="1"/>
  <c r="S235" i="1"/>
  <c r="S266" i="1"/>
  <c r="S272" i="1"/>
  <c r="S271" i="1"/>
  <c r="S258" i="1"/>
  <c r="S259" i="1"/>
  <c r="S288" i="1"/>
  <c r="S296" i="1"/>
  <c r="S354" i="1"/>
  <c r="S316" i="1"/>
  <c r="S325" i="1"/>
  <c r="S317" i="1"/>
  <c r="S321" i="1"/>
  <c r="S349" i="1"/>
  <c r="S395" i="1"/>
  <c r="S371" i="1"/>
  <c r="S373" i="1"/>
  <c r="S365" i="1"/>
  <c r="S409" i="1"/>
  <c r="S425" i="1"/>
  <c r="S447" i="1"/>
  <c r="S432" i="1"/>
  <c r="S474" i="1"/>
  <c r="S501" i="1"/>
  <c r="S485" i="1"/>
  <c r="S486" i="1"/>
  <c r="S497" i="1"/>
  <c r="S334" i="1"/>
  <c r="S94" i="1"/>
  <c r="S500" i="1"/>
  <c r="S16" i="1"/>
  <c r="S458" i="1"/>
  <c r="S101" i="1"/>
  <c r="S224" i="1"/>
  <c r="S19" i="1"/>
  <c r="S441" i="1"/>
  <c r="S202" i="1"/>
  <c r="S260" i="1"/>
  <c r="S368" i="1"/>
  <c r="S322" i="1"/>
  <c r="S26" i="1"/>
  <c r="S119" i="1"/>
  <c r="S479" i="1"/>
  <c r="S228" i="1"/>
  <c r="S417" i="1"/>
  <c r="S73" i="1"/>
  <c r="S331" i="1"/>
  <c r="S158" i="1"/>
  <c r="S377" i="1"/>
  <c r="S268" i="1"/>
  <c r="S295" i="1"/>
  <c r="S214" i="1"/>
  <c r="S138" i="1"/>
  <c r="S83" i="1"/>
  <c r="S204" i="1"/>
  <c r="S492" i="1"/>
  <c r="S494" i="1"/>
  <c r="S336" i="1"/>
  <c r="S481" i="1"/>
  <c r="S9" i="1"/>
  <c r="S384" i="1"/>
  <c r="S276" i="1"/>
  <c r="S230" i="1"/>
  <c r="S145" i="1"/>
  <c r="S451" i="1"/>
  <c r="S90" i="1"/>
  <c r="S369" i="1"/>
  <c r="S380" i="1"/>
  <c r="S92" i="1"/>
  <c r="S91" i="1"/>
  <c r="S212" i="1"/>
  <c r="S482" i="1"/>
  <c r="S411" i="1"/>
  <c r="S41" i="1"/>
  <c r="S62" i="1"/>
  <c r="S196" i="1"/>
  <c r="S106" i="1"/>
  <c r="S8" i="1"/>
  <c r="S151" i="1"/>
  <c r="S189" i="1"/>
  <c r="S80" i="1"/>
  <c r="S314" i="1"/>
  <c r="S363" i="1"/>
  <c r="S403" i="1"/>
  <c r="S357" i="1"/>
  <c r="S233" i="1"/>
  <c r="S280" i="1"/>
  <c r="S332" i="1"/>
  <c r="S320" i="1"/>
  <c r="S84" i="1"/>
  <c r="S412" i="1"/>
  <c r="S436" i="1"/>
  <c r="S97" i="1"/>
  <c r="S186" i="1"/>
  <c r="S215" i="1"/>
  <c r="S383" i="1"/>
  <c r="S455" i="1"/>
  <c r="S253" i="1"/>
  <c r="S285" i="1"/>
  <c r="S472" i="1"/>
  <c r="S256" i="1"/>
  <c r="S418" i="1"/>
  <c r="S165" i="1"/>
  <c r="S394" i="1"/>
  <c r="S43" i="1"/>
  <c r="S53" i="1"/>
  <c r="S465" i="1"/>
  <c r="S61" i="1"/>
  <c r="S351" i="1"/>
  <c r="S348" i="1"/>
  <c r="S218" i="1"/>
  <c r="S361" i="1"/>
  <c r="S27" i="1"/>
  <c r="S250" i="1"/>
  <c r="S367" i="1"/>
  <c r="S93" i="1"/>
  <c r="S287" i="1"/>
  <c r="S489" i="1"/>
  <c r="S54" i="1"/>
  <c r="S379" i="1"/>
  <c r="S292" i="1"/>
  <c r="S286" i="1"/>
  <c r="S473" i="1"/>
  <c r="S344" i="1"/>
  <c r="S372" i="1"/>
  <c r="S307" i="1"/>
  <c r="S275" i="1"/>
  <c r="S339" i="1"/>
  <c r="S46" i="1"/>
  <c r="S203" i="1"/>
  <c r="S454" i="1"/>
  <c r="S338" i="1"/>
  <c r="S57" i="1"/>
  <c r="S217" i="1"/>
  <c r="S391" i="1"/>
  <c r="S181" i="1"/>
  <c r="S462" i="1"/>
  <c r="S14" i="1"/>
  <c r="S185" i="1"/>
  <c r="S283" i="1"/>
  <c r="S429" i="1"/>
  <c r="S104" i="1"/>
  <c r="S270" i="1"/>
  <c r="S370" i="1"/>
  <c r="S435" i="1"/>
  <c r="S364" i="1"/>
  <c r="S362" i="1"/>
  <c r="S154" i="1"/>
  <c r="S70" i="1"/>
  <c r="S398" i="1"/>
  <c r="S221" i="1"/>
  <c r="S78" i="1"/>
  <c r="S109" i="1"/>
  <c r="S261" i="1"/>
  <c r="S313" i="1"/>
  <c r="S17" i="1"/>
  <c r="S231" i="1"/>
  <c r="S450" i="1"/>
  <c r="S329" i="1"/>
  <c r="S36" i="1"/>
  <c r="S399" i="1"/>
  <c r="S58" i="1"/>
  <c r="S431" i="1"/>
  <c r="S18" i="1"/>
  <c r="S328" i="1"/>
  <c r="S103" i="1"/>
  <c r="S222" i="1"/>
  <c r="S353" i="1"/>
  <c r="S464" i="1"/>
  <c r="S147" i="1"/>
  <c r="S240" i="1"/>
  <c r="S64" i="1"/>
  <c r="S150" i="1"/>
  <c r="S60" i="1"/>
  <c r="S346" i="1"/>
  <c r="S133" i="1"/>
  <c r="S130" i="1"/>
  <c r="S25" i="1"/>
  <c r="S116" i="1"/>
  <c r="S243" i="1"/>
  <c r="S337" i="1"/>
  <c r="S135" i="1"/>
  <c r="S128" i="1"/>
  <c r="S382" i="1"/>
  <c r="S201" i="1"/>
  <c r="S76" i="1"/>
  <c r="S273" i="1"/>
  <c r="S209" i="1"/>
  <c r="S252" i="1"/>
  <c r="S180" i="1"/>
  <c r="S184" i="1"/>
  <c r="S206" i="1"/>
  <c r="S406" i="1"/>
  <c r="S460" i="1"/>
  <c r="S82" i="1"/>
  <c r="S194" i="1"/>
  <c r="S471" i="1"/>
  <c r="S140" i="1"/>
  <c r="S269" i="1"/>
  <c r="S495" i="1"/>
  <c r="S249" i="1"/>
  <c r="S12" i="1"/>
  <c r="S126" i="1"/>
  <c r="S413" i="1"/>
  <c r="S402" i="1"/>
  <c r="S31" i="1"/>
  <c r="S335" i="1"/>
  <c r="S216" i="1"/>
  <c r="S484" i="1"/>
  <c r="S102" i="1"/>
  <c r="S227" i="1"/>
  <c r="S397" i="1"/>
  <c r="S166" i="1"/>
  <c r="S37" i="1"/>
  <c r="S137" i="1"/>
  <c r="S77" i="1"/>
  <c r="S2" i="1"/>
  <c r="S125" i="1"/>
  <c r="S291" i="1"/>
  <c r="S443" i="1"/>
  <c r="S298" i="1"/>
  <c r="S142" i="1"/>
  <c r="S476" i="1"/>
  <c r="S170" i="1"/>
  <c r="S99" i="1"/>
  <c r="S241" i="1"/>
  <c r="S239" i="1"/>
  <c r="S113" i="1"/>
  <c r="S66" i="1"/>
  <c r="S477" i="1"/>
  <c r="S434" i="1"/>
  <c r="S299" i="1"/>
  <c r="S15" i="1"/>
  <c r="S100" i="1"/>
  <c r="S360" i="1"/>
  <c r="S490" i="1"/>
  <c r="S453" i="1"/>
  <c r="S29" i="1"/>
  <c r="S175" i="1"/>
  <c r="S290" i="1"/>
  <c r="S340" i="1"/>
  <c r="S437" i="1"/>
  <c r="S456" i="1"/>
  <c r="S108" i="1"/>
  <c r="S192" i="1"/>
  <c r="S440" i="1"/>
  <c r="S323" i="1"/>
  <c r="S42" i="1"/>
  <c r="S345" i="1"/>
  <c r="S289" i="1"/>
  <c r="S179" i="1"/>
  <c r="S32" i="1"/>
  <c r="S234" i="1"/>
  <c r="S311" i="1"/>
  <c r="S408" i="1"/>
  <c r="S326" i="1"/>
  <c r="S350" i="1"/>
  <c r="S401" i="1"/>
  <c r="S254" i="1"/>
  <c r="S419" i="1"/>
  <c r="S226" i="1"/>
  <c r="S188" i="1"/>
  <c r="S69" i="1"/>
  <c r="S498" i="1"/>
  <c r="S24" i="1"/>
  <c r="S279" i="1"/>
  <c r="S208" i="1"/>
  <c r="S342" i="1"/>
  <c r="S430" i="1"/>
  <c r="S444" i="1"/>
  <c r="S67" i="1"/>
  <c r="S385" i="1"/>
  <c r="S167" i="1"/>
  <c r="S30" i="1"/>
  <c r="S267" i="1"/>
  <c r="S182" i="1"/>
  <c r="S153" i="1"/>
  <c r="S461" i="1"/>
  <c r="S427" i="1"/>
  <c r="S105" i="1"/>
  <c r="S136" i="1"/>
  <c r="S422" i="1"/>
  <c r="S95" i="1"/>
  <c r="S410" i="1"/>
  <c r="S107" i="1"/>
  <c r="S213" i="1"/>
  <c r="S220" i="1"/>
  <c r="S211" i="1"/>
  <c r="S439" i="1"/>
  <c r="S190" i="1"/>
  <c r="S281" i="1"/>
  <c r="S263" i="1"/>
  <c r="S223" i="1"/>
  <c r="S71" i="1"/>
  <c r="S470" i="1"/>
  <c r="S306" i="1"/>
  <c r="S341" i="1"/>
  <c r="S28" i="1"/>
  <c r="S246" i="1"/>
  <c r="S475" i="1"/>
  <c r="S112" i="1"/>
  <c r="S160" i="1"/>
  <c r="S79" i="1"/>
  <c r="S124" i="1"/>
  <c r="S40" i="1"/>
  <c r="S45" i="1"/>
  <c r="S6" i="1"/>
  <c r="S426" i="1"/>
  <c r="S193" i="1"/>
  <c r="S164" i="1"/>
  <c r="S176" i="1"/>
  <c r="S387" i="1"/>
  <c r="S438" i="1"/>
  <c r="S312" i="1"/>
  <c r="S277" i="1"/>
  <c r="S219" i="1"/>
  <c r="S75" i="1"/>
  <c r="S452" i="1"/>
  <c r="S278" i="1"/>
  <c r="S98" i="1"/>
  <c r="S120" i="1"/>
  <c r="S134" i="1"/>
  <c r="S310" i="1"/>
  <c r="S375" i="1"/>
  <c r="S48" i="1"/>
  <c r="S463" i="1"/>
  <c r="S315" i="1"/>
  <c r="S393" i="1"/>
  <c r="S445" i="1"/>
  <c r="S488" i="1"/>
  <c r="S480" i="1"/>
  <c r="S247" i="1"/>
  <c r="S149" i="1"/>
  <c r="S238" i="1"/>
  <c r="S74" i="1"/>
  <c r="S309" i="1"/>
  <c r="S3" i="1"/>
  <c r="S352" i="1"/>
  <c r="S366" i="1"/>
  <c r="S245" i="1"/>
  <c r="S333" i="1"/>
  <c r="S111" i="1"/>
  <c r="S499" i="1"/>
  <c r="S131" i="1"/>
  <c r="S22" i="1"/>
  <c r="S359" i="1"/>
  <c r="S274" i="1"/>
  <c r="B40" i="1"/>
  <c r="E40" i="1"/>
  <c r="F40" i="1"/>
  <c r="H40" i="1"/>
  <c r="J40" i="1"/>
  <c r="L40" i="1"/>
  <c r="M40" i="1"/>
  <c r="R40" i="1"/>
  <c r="B45" i="1"/>
  <c r="E45" i="1"/>
  <c r="F45" i="1"/>
  <c r="H45" i="1"/>
  <c r="J45" i="1"/>
  <c r="L45" i="1"/>
  <c r="M45" i="1"/>
  <c r="R45" i="1"/>
  <c r="B6" i="1"/>
  <c r="E6" i="1"/>
  <c r="F6" i="1"/>
  <c r="H6" i="1"/>
  <c r="J6" i="1"/>
  <c r="L6" i="1"/>
  <c r="M6" i="1"/>
  <c r="R6" i="1"/>
  <c r="B426" i="1"/>
  <c r="E426" i="1"/>
  <c r="F426" i="1"/>
  <c r="H426" i="1"/>
  <c r="J426" i="1"/>
  <c r="L426" i="1"/>
  <c r="M426" i="1"/>
  <c r="R426" i="1"/>
  <c r="B193" i="1"/>
  <c r="E193" i="1"/>
  <c r="F193" i="1"/>
  <c r="H193" i="1"/>
  <c r="J193" i="1"/>
  <c r="L193" i="1"/>
  <c r="M193" i="1"/>
  <c r="R193" i="1"/>
  <c r="B164" i="1"/>
  <c r="E164" i="1"/>
  <c r="F164" i="1"/>
  <c r="H164" i="1"/>
  <c r="J164" i="1"/>
  <c r="L164" i="1"/>
  <c r="M164" i="1"/>
  <c r="R164" i="1"/>
  <c r="B176" i="1"/>
  <c r="E176" i="1"/>
  <c r="F176" i="1"/>
  <c r="H176" i="1"/>
  <c r="J176" i="1"/>
  <c r="L176" i="1"/>
  <c r="M176" i="1"/>
  <c r="R176" i="1"/>
  <c r="B387" i="1"/>
  <c r="E387" i="1"/>
  <c r="F387" i="1"/>
  <c r="H387" i="1"/>
  <c r="J387" i="1"/>
  <c r="L387" i="1"/>
  <c r="M387" i="1"/>
  <c r="R387" i="1"/>
  <c r="B438" i="1"/>
  <c r="E438" i="1"/>
  <c r="F438" i="1"/>
  <c r="H438" i="1"/>
  <c r="J438" i="1"/>
  <c r="L438" i="1"/>
  <c r="M438" i="1"/>
  <c r="R438" i="1"/>
  <c r="B312" i="1"/>
  <c r="E312" i="1"/>
  <c r="F312" i="1"/>
  <c r="H312" i="1"/>
  <c r="J312" i="1"/>
  <c r="L312" i="1"/>
  <c r="M312" i="1"/>
  <c r="R312" i="1"/>
  <c r="B277" i="1"/>
  <c r="E277" i="1"/>
  <c r="F277" i="1"/>
  <c r="H277" i="1"/>
  <c r="J277" i="1"/>
  <c r="L277" i="1"/>
  <c r="M277" i="1"/>
  <c r="R277" i="1"/>
  <c r="B219" i="1"/>
  <c r="E219" i="1"/>
  <c r="F219" i="1"/>
  <c r="H219" i="1"/>
  <c r="J219" i="1"/>
  <c r="L219" i="1"/>
  <c r="M219" i="1"/>
  <c r="R219" i="1"/>
  <c r="B75" i="1"/>
  <c r="E75" i="1"/>
  <c r="F75" i="1"/>
  <c r="H75" i="1"/>
  <c r="J75" i="1"/>
  <c r="L75" i="1"/>
  <c r="M75" i="1"/>
  <c r="R75" i="1"/>
  <c r="B452" i="1"/>
  <c r="E452" i="1"/>
  <c r="F452" i="1"/>
  <c r="H452" i="1"/>
  <c r="J452" i="1"/>
  <c r="L452" i="1"/>
  <c r="M452" i="1"/>
  <c r="R452" i="1"/>
  <c r="B278" i="1"/>
  <c r="E278" i="1"/>
  <c r="F278" i="1"/>
  <c r="H278" i="1"/>
  <c r="J278" i="1"/>
  <c r="L278" i="1"/>
  <c r="M278" i="1"/>
  <c r="R278" i="1"/>
  <c r="B98" i="1"/>
  <c r="E98" i="1"/>
  <c r="F98" i="1"/>
  <c r="H98" i="1"/>
  <c r="J98" i="1"/>
  <c r="L98" i="1"/>
  <c r="M98" i="1"/>
  <c r="R98" i="1"/>
  <c r="B120" i="1"/>
  <c r="E120" i="1"/>
  <c r="F120" i="1"/>
  <c r="H120" i="1"/>
  <c r="J120" i="1"/>
  <c r="L120" i="1"/>
  <c r="M120" i="1"/>
  <c r="R120" i="1"/>
  <c r="B134" i="1"/>
  <c r="E134" i="1"/>
  <c r="F134" i="1"/>
  <c r="H134" i="1"/>
  <c r="J134" i="1"/>
  <c r="L134" i="1"/>
  <c r="M134" i="1"/>
  <c r="R134" i="1"/>
  <c r="B310" i="1"/>
  <c r="E310" i="1"/>
  <c r="F310" i="1"/>
  <c r="H310" i="1"/>
  <c r="J310" i="1"/>
  <c r="L310" i="1"/>
  <c r="M310" i="1"/>
  <c r="R310" i="1"/>
  <c r="B375" i="1"/>
  <c r="E375" i="1"/>
  <c r="F375" i="1"/>
  <c r="H375" i="1"/>
  <c r="J375" i="1"/>
  <c r="L375" i="1"/>
  <c r="M375" i="1"/>
  <c r="R375" i="1"/>
  <c r="B48" i="1"/>
  <c r="E48" i="1"/>
  <c r="F48" i="1"/>
  <c r="H48" i="1"/>
  <c r="J48" i="1"/>
  <c r="L48" i="1"/>
  <c r="M48" i="1"/>
  <c r="R48" i="1"/>
  <c r="B15" i="1"/>
  <c r="E15" i="1"/>
  <c r="F15" i="1"/>
  <c r="H15" i="1"/>
  <c r="J15" i="1"/>
  <c r="L15" i="1"/>
  <c r="M15" i="1"/>
  <c r="R15" i="1"/>
  <c r="B100" i="1"/>
  <c r="E100" i="1"/>
  <c r="F100" i="1"/>
  <c r="H100" i="1"/>
  <c r="J100" i="1"/>
  <c r="L100" i="1"/>
  <c r="M100" i="1"/>
  <c r="R100" i="1"/>
  <c r="B360" i="1"/>
  <c r="E360" i="1"/>
  <c r="F360" i="1"/>
  <c r="H360" i="1"/>
  <c r="J360" i="1"/>
  <c r="L360" i="1"/>
  <c r="M360" i="1"/>
  <c r="R360" i="1"/>
  <c r="B490" i="1"/>
  <c r="E490" i="1"/>
  <c r="F490" i="1"/>
  <c r="H490" i="1"/>
  <c r="J490" i="1"/>
  <c r="L490" i="1"/>
  <c r="M490" i="1"/>
  <c r="R490" i="1"/>
  <c r="R396" i="1"/>
  <c r="R463" i="1"/>
  <c r="R315" i="1"/>
  <c r="R393" i="1"/>
  <c r="R445" i="1"/>
  <c r="R488" i="1"/>
  <c r="R480" i="1"/>
  <c r="R247" i="1"/>
  <c r="R149" i="1"/>
  <c r="R238" i="1"/>
  <c r="R74" i="1"/>
  <c r="R309" i="1"/>
  <c r="R3" i="1"/>
  <c r="R352" i="1"/>
  <c r="R366" i="1"/>
  <c r="R245" i="1"/>
  <c r="R333" i="1"/>
  <c r="R111" i="1"/>
  <c r="R499" i="1"/>
  <c r="R131" i="1"/>
  <c r="R22" i="1"/>
  <c r="R359" i="1"/>
  <c r="R274" i="1"/>
  <c r="R112" i="1"/>
  <c r="R160" i="1"/>
  <c r="R79" i="1"/>
  <c r="R124" i="1"/>
  <c r="J192" i="1"/>
  <c r="J440" i="1"/>
  <c r="J323" i="1"/>
  <c r="J42" i="1"/>
  <c r="J345" i="1"/>
  <c r="J289" i="1"/>
  <c r="J179" i="1"/>
  <c r="J32" i="1"/>
  <c r="J234" i="1"/>
  <c r="J311" i="1"/>
  <c r="J408" i="1"/>
  <c r="J326" i="1"/>
  <c r="J350" i="1"/>
  <c r="J401" i="1"/>
  <c r="J254" i="1"/>
  <c r="J419" i="1"/>
  <c r="J226" i="1"/>
  <c r="J188" i="1"/>
  <c r="J69" i="1"/>
  <c r="J396" i="1"/>
  <c r="J498" i="1"/>
  <c r="J24" i="1"/>
  <c r="J279" i="1"/>
  <c r="J208" i="1"/>
  <c r="J342" i="1"/>
  <c r="J430" i="1"/>
  <c r="J444" i="1"/>
  <c r="J67" i="1"/>
  <c r="J385" i="1"/>
  <c r="J167" i="1"/>
  <c r="J30" i="1"/>
  <c r="J267" i="1"/>
  <c r="J182" i="1"/>
  <c r="J153" i="1"/>
  <c r="J461" i="1"/>
  <c r="J427" i="1"/>
  <c r="J105" i="1"/>
  <c r="J136" i="1"/>
  <c r="J422" i="1"/>
  <c r="J95" i="1"/>
  <c r="J410" i="1"/>
  <c r="J107" i="1"/>
  <c r="J213" i="1"/>
  <c r="J220" i="1"/>
  <c r="J211" i="1"/>
  <c r="J439" i="1"/>
  <c r="J463" i="1"/>
  <c r="J190" i="1"/>
  <c r="J315" i="1"/>
  <c r="J281" i="1"/>
  <c r="J263" i="1"/>
  <c r="J223" i="1"/>
  <c r="J71" i="1"/>
  <c r="J470" i="1"/>
  <c r="J306" i="1"/>
  <c r="J341" i="1"/>
  <c r="J28" i="1"/>
  <c r="J246" i="1"/>
  <c r="J475" i="1"/>
  <c r="J130" i="1"/>
  <c r="J25" i="1"/>
  <c r="J116" i="1"/>
  <c r="J243" i="1"/>
  <c r="J393" i="1"/>
  <c r="J337" i="1"/>
  <c r="J135" i="1"/>
  <c r="J128" i="1"/>
  <c r="J382" i="1"/>
  <c r="J201" i="1"/>
  <c r="J76" i="1"/>
  <c r="J273" i="1"/>
  <c r="J445" i="1"/>
  <c r="J209" i="1"/>
  <c r="J252" i="1"/>
  <c r="J180" i="1"/>
  <c r="J184" i="1"/>
  <c r="J488" i="1"/>
  <c r="J206" i="1"/>
  <c r="J406" i="1"/>
  <c r="J480" i="1"/>
  <c r="J460" i="1"/>
  <c r="J82" i="1"/>
  <c r="J194" i="1"/>
  <c r="J471" i="1"/>
  <c r="J247" i="1"/>
  <c r="J149" i="1"/>
  <c r="J140" i="1"/>
  <c r="J269" i="1"/>
  <c r="J495" i="1"/>
  <c r="J249" i="1"/>
  <c r="J238" i="1"/>
  <c r="J12" i="1"/>
  <c r="J74" i="1"/>
  <c r="J126" i="1"/>
  <c r="J413" i="1"/>
  <c r="J309" i="1"/>
  <c r="J402" i="1"/>
  <c r="J31" i="1"/>
  <c r="J335" i="1"/>
  <c r="J216" i="1"/>
  <c r="J3" i="1"/>
  <c r="J484" i="1"/>
  <c r="J102" i="1"/>
  <c r="J227" i="1"/>
  <c r="J397" i="1"/>
  <c r="J166" i="1"/>
  <c r="J352" i="1"/>
  <c r="J37" i="1"/>
  <c r="J137" i="1"/>
  <c r="J77" i="1"/>
  <c r="J2" i="1"/>
  <c r="J125" i="1"/>
  <c r="J291" i="1"/>
  <c r="J443" i="1"/>
  <c r="J366" i="1"/>
  <c r="J298" i="1"/>
  <c r="J142" i="1"/>
  <c r="J476" i="1"/>
  <c r="J170" i="1"/>
  <c r="J99" i="1"/>
  <c r="J245" i="1"/>
  <c r="J241" i="1"/>
  <c r="J239" i="1"/>
  <c r="J113" i="1"/>
  <c r="J66" i="1"/>
  <c r="J477" i="1"/>
  <c r="J434" i="1"/>
  <c r="J299" i="1"/>
  <c r="J379" i="1"/>
  <c r="J292" i="1"/>
  <c r="J286" i="1"/>
  <c r="J333" i="1"/>
  <c r="J473" i="1"/>
  <c r="J111" i="1"/>
  <c r="J344" i="1"/>
  <c r="J372" i="1"/>
  <c r="J307" i="1"/>
  <c r="J499" i="1"/>
  <c r="J275" i="1"/>
  <c r="J339" i="1"/>
  <c r="J46" i="1"/>
  <c r="J203" i="1"/>
  <c r="J454" i="1"/>
  <c r="J338" i="1"/>
  <c r="J131" i="1"/>
  <c r="J57" i="1"/>
  <c r="J217" i="1"/>
  <c r="J391" i="1"/>
  <c r="J181" i="1"/>
  <c r="J462" i="1"/>
  <c r="J22" i="1"/>
  <c r="J14" i="1"/>
  <c r="J185" i="1"/>
  <c r="J283" i="1"/>
  <c r="J429" i="1"/>
  <c r="J104" i="1"/>
  <c r="J270" i="1"/>
  <c r="J370" i="1"/>
  <c r="J435" i="1"/>
  <c r="J364" i="1"/>
  <c r="J362" i="1"/>
  <c r="J359" i="1"/>
  <c r="J154" i="1"/>
  <c r="J70" i="1"/>
  <c r="J398" i="1"/>
  <c r="J221" i="1"/>
  <c r="J78" i="1"/>
  <c r="J109" i="1"/>
  <c r="J261" i="1"/>
  <c r="J313" i="1"/>
  <c r="J17" i="1"/>
  <c r="J231" i="1"/>
  <c r="J274" i="1"/>
  <c r="J450" i="1"/>
  <c r="J329" i="1"/>
  <c r="J36" i="1"/>
  <c r="J399" i="1"/>
  <c r="J58" i="1"/>
  <c r="J431" i="1"/>
  <c r="J18" i="1"/>
  <c r="J328" i="1"/>
  <c r="J103" i="1"/>
  <c r="J222" i="1"/>
  <c r="J112" i="1"/>
  <c r="J353" i="1"/>
  <c r="J464" i="1"/>
  <c r="J147" i="1"/>
  <c r="J240" i="1"/>
  <c r="J64" i="1"/>
  <c r="J150" i="1"/>
  <c r="J60" i="1"/>
  <c r="J346" i="1"/>
  <c r="J133" i="1"/>
  <c r="J334" i="1"/>
  <c r="J94" i="1"/>
  <c r="J500" i="1"/>
  <c r="J16" i="1"/>
  <c r="J458" i="1"/>
  <c r="J160" i="1"/>
  <c r="J101" i="1"/>
  <c r="J79" i="1"/>
  <c r="J224" i="1"/>
  <c r="J19" i="1"/>
  <c r="J441" i="1"/>
  <c r="J202" i="1"/>
  <c r="J124" i="1"/>
  <c r="J260" i="1"/>
  <c r="J368" i="1"/>
  <c r="J322" i="1"/>
  <c r="J26" i="1"/>
  <c r="J119" i="1"/>
  <c r="J479" i="1"/>
  <c r="J228" i="1"/>
  <c r="J417" i="1"/>
  <c r="J73" i="1"/>
  <c r="J331" i="1"/>
  <c r="J158" i="1"/>
  <c r="J377" i="1"/>
  <c r="J268" i="1"/>
  <c r="J295" i="1"/>
  <c r="J214" i="1"/>
  <c r="J138" i="1"/>
  <c r="J83" i="1"/>
  <c r="J204" i="1"/>
  <c r="J492" i="1"/>
  <c r="J494" i="1"/>
  <c r="J336" i="1"/>
  <c r="J481" i="1"/>
  <c r="J9" i="1"/>
  <c r="J384" i="1"/>
  <c r="J276" i="1"/>
  <c r="J230" i="1"/>
  <c r="J145" i="1"/>
  <c r="J451" i="1"/>
  <c r="J90" i="1"/>
  <c r="J369" i="1"/>
  <c r="J380" i="1"/>
  <c r="J92" i="1"/>
  <c r="J91" i="1"/>
  <c r="J212" i="1"/>
  <c r="J482" i="1"/>
  <c r="J411" i="1"/>
  <c r="J41" i="1"/>
  <c r="J62" i="1"/>
  <c r="J196" i="1"/>
  <c r="J106" i="1"/>
  <c r="J8" i="1"/>
  <c r="J151" i="1"/>
  <c r="J189" i="1"/>
  <c r="J80" i="1"/>
  <c r="J314" i="1"/>
  <c r="J363" i="1"/>
  <c r="J403" i="1"/>
  <c r="J357" i="1"/>
  <c r="J233" i="1"/>
  <c r="J280" i="1"/>
  <c r="J332" i="1"/>
  <c r="J320" i="1"/>
  <c r="J84" i="1"/>
  <c r="J412" i="1"/>
  <c r="J436" i="1"/>
  <c r="J97" i="1"/>
  <c r="J186" i="1"/>
  <c r="J215" i="1"/>
  <c r="J383" i="1"/>
  <c r="J455" i="1"/>
  <c r="J253" i="1"/>
  <c r="J285" i="1"/>
  <c r="J472" i="1"/>
  <c r="J256" i="1"/>
  <c r="J418" i="1"/>
  <c r="J165" i="1"/>
  <c r="J394" i="1"/>
  <c r="J43" i="1"/>
  <c r="J53" i="1"/>
  <c r="J465" i="1"/>
  <c r="J61" i="1"/>
  <c r="J351" i="1"/>
  <c r="J348" i="1"/>
  <c r="J218" i="1"/>
  <c r="J361" i="1"/>
  <c r="J27" i="1"/>
  <c r="J250" i="1"/>
  <c r="J367" i="1"/>
  <c r="J93" i="1"/>
  <c r="J287" i="1"/>
  <c r="J489" i="1"/>
  <c r="J54" i="1"/>
  <c r="J143" i="1"/>
  <c r="J414" i="1"/>
  <c r="J162" i="1"/>
  <c r="J493" i="1"/>
  <c r="J4" i="1"/>
  <c r="J284" i="1"/>
  <c r="J478" i="1"/>
  <c r="J305" i="1"/>
  <c r="J400" i="1"/>
  <c r="J20" i="1"/>
  <c r="J355" i="1"/>
  <c r="J50" i="1"/>
  <c r="J343" i="1"/>
  <c r="J433" i="1"/>
  <c r="J442" i="1"/>
  <c r="J173" i="1"/>
  <c r="J374" i="1"/>
  <c r="J85" i="1"/>
  <c r="J327" i="1"/>
  <c r="J88" i="1"/>
  <c r="J236" i="1"/>
  <c r="J56" i="1"/>
  <c r="J5" i="1"/>
  <c r="J301" i="1"/>
  <c r="J324" i="1"/>
  <c r="J386" i="1"/>
  <c r="J378" i="1"/>
  <c r="J466" i="1"/>
  <c r="J200" i="1"/>
  <c r="J420" i="1"/>
  <c r="J210" i="1"/>
  <c r="J205" i="1"/>
  <c r="J255" i="1"/>
  <c r="J257" i="1"/>
  <c r="J265" i="1"/>
  <c r="J174" i="1"/>
  <c r="J121" i="1"/>
  <c r="J303" i="1"/>
  <c r="J330" i="1"/>
  <c r="J34" i="1"/>
  <c r="J123" i="1"/>
  <c r="J293" i="1"/>
  <c r="J297" i="1"/>
  <c r="J356" i="1"/>
  <c r="J10" i="1"/>
  <c r="J132" i="1"/>
  <c r="J496" i="1"/>
  <c r="J148" i="1"/>
  <c r="J155" i="1"/>
  <c r="J304" i="1"/>
  <c r="J172" i="1"/>
  <c r="J156" i="1"/>
  <c r="J421" i="1"/>
  <c r="J146" i="1"/>
  <c r="J127" i="1"/>
  <c r="J404" i="1"/>
  <c r="J282" i="1"/>
  <c r="J467" i="1"/>
  <c r="J118" i="1"/>
  <c r="J491" i="1"/>
  <c r="J469" i="1"/>
  <c r="J47" i="1"/>
  <c r="J248" i="1"/>
  <c r="J13" i="1"/>
  <c r="J415" i="1"/>
  <c r="J483" i="1"/>
  <c r="J11" i="1"/>
  <c r="J63" i="1"/>
  <c r="J59" i="1"/>
  <c r="J44" i="1"/>
  <c r="J38" i="1"/>
  <c r="J86" i="1"/>
  <c r="J89" i="1"/>
  <c r="J68" i="1"/>
  <c r="J81" i="1"/>
  <c r="J110" i="1"/>
  <c r="J122" i="1"/>
  <c r="J115" i="1"/>
  <c r="J141" i="1"/>
  <c r="J152" i="1"/>
  <c r="J159" i="1"/>
  <c r="J191" i="1"/>
  <c r="J187" i="1"/>
  <c r="J171" i="1"/>
  <c r="J197" i="1"/>
  <c r="J161" i="1"/>
  <c r="J177" i="1"/>
  <c r="J207" i="1"/>
  <c r="J232" i="1"/>
  <c r="J242" i="1"/>
  <c r="J251" i="1"/>
  <c r="J294" i="1"/>
  <c r="J302" i="1"/>
  <c r="J262" i="1"/>
  <c r="J300" i="1"/>
  <c r="J264" i="1"/>
  <c r="J318" i="1"/>
  <c r="J319" i="1"/>
  <c r="J308" i="1"/>
  <c r="J347" i="1"/>
  <c r="J392" i="1"/>
  <c r="J381" i="1"/>
  <c r="J388" i="1"/>
  <c r="J390" i="1"/>
  <c r="J358" i="1"/>
  <c r="J389" i="1"/>
  <c r="J405" i="1"/>
  <c r="J376" i="1"/>
  <c r="J423" i="1"/>
  <c r="J446" i="1"/>
  <c r="J424" i="1"/>
  <c r="J448" i="1"/>
  <c r="J416" i="1"/>
  <c r="J428" i="1"/>
  <c r="J407" i="1"/>
  <c r="J468" i="1"/>
  <c r="J487" i="1"/>
  <c r="J457" i="1"/>
  <c r="J453" i="1"/>
  <c r="J449" i="1"/>
  <c r="J459" i="1"/>
  <c r="J52" i="1"/>
  <c r="J21" i="1"/>
  <c r="J49" i="1"/>
  <c r="J7" i="1"/>
  <c r="J55" i="1"/>
  <c r="J33" i="1"/>
  <c r="J29" i="1"/>
  <c r="J39" i="1"/>
  <c r="J23" i="1"/>
  <c r="J35" i="1"/>
  <c r="J51" i="1"/>
  <c r="J65" i="1"/>
  <c r="J72" i="1"/>
  <c r="J96" i="1"/>
  <c r="J87" i="1"/>
  <c r="J139" i="1"/>
  <c r="J157" i="1"/>
  <c r="J117" i="1"/>
  <c r="J144" i="1"/>
  <c r="J129" i="1"/>
  <c r="J114" i="1"/>
  <c r="J183" i="1"/>
  <c r="J198" i="1"/>
  <c r="J175" i="1"/>
  <c r="J168" i="1"/>
  <c r="J178" i="1"/>
  <c r="J195" i="1"/>
  <c r="J199" i="1"/>
  <c r="J163" i="1"/>
  <c r="J169" i="1"/>
  <c r="J229" i="1"/>
  <c r="J237" i="1"/>
  <c r="J244" i="1"/>
  <c r="J225" i="1"/>
  <c r="J235" i="1"/>
  <c r="J266" i="1"/>
  <c r="J272" i="1"/>
  <c r="J271" i="1"/>
  <c r="J290" i="1"/>
  <c r="J258" i="1"/>
  <c r="J259" i="1"/>
  <c r="J288" i="1"/>
  <c r="J296" i="1"/>
  <c r="J354" i="1"/>
  <c r="J316" i="1"/>
  <c r="J340" i="1"/>
  <c r="J325" i="1"/>
  <c r="J317" i="1"/>
  <c r="J321" i="1"/>
  <c r="J349" i="1"/>
  <c r="J395" i="1"/>
  <c r="J371" i="1"/>
  <c r="J373" i="1"/>
  <c r="J365" i="1"/>
  <c r="J409" i="1"/>
  <c r="J437" i="1"/>
  <c r="J425" i="1"/>
  <c r="J447" i="1"/>
  <c r="J432" i="1"/>
  <c r="J474" i="1"/>
  <c r="J501" i="1"/>
  <c r="J456" i="1"/>
  <c r="J485" i="1"/>
  <c r="J486" i="1"/>
  <c r="J497" i="1"/>
  <c r="J108" i="1"/>
  <c r="S396" i="1"/>
  <c r="R108" i="1"/>
  <c r="R192" i="1"/>
  <c r="R440" i="1"/>
  <c r="R323" i="1"/>
  <c r="R42" i="1"/>
  <c r="R345" i="1"/>
  <c r="R289" i="1"/>
  <c r="R179" i="1"/>
  <c r="R32" i="1"/>
  <c r="R234" i="1"/>
  <c r="R311" i="1"/>
  <c r="R408" i="1"/>
  <c r="R326" i="1"/>
  <c r="R350" i="1"/>
  <c r="R401" i="1"/>
  <c r="R254" i="1"/>
  <c r="R419" i="1"/>
  <c r="R226" i="1"/>
  <c r="R188" i="1"/>
  <c r="R69" i="1"/>
  <c r="R498" i="1"/>
  <c r="R24" i="1"/>
  <c r="R279" i="1"/>
  <c r="R208" i="1"/>
  <c r="R342" i="1"/>
  <c r="R430" i="1"/>
  <c r="R444" i="1"/>
  <c r="R67" i="1"/>
  <c r="R385" i="1"/>
  <c r="R167" i="1"/>
  <c r="R30" i="1"/>
  <c r="R267" i="1"/>
  <c r="R182" i="1"/>
  <c r="R153" i="1"/>
  <c r="R461" i="1"/>
  <c r="R427" i="1"/>
  <c r="R105" i="1"/>
  <c r="R136" i="1"/>
  <c r="R422" i="1"/>
  <c r="R95" i="1"/>
  <c r="R410" i="1"/>
  <c r="R107" i="1"/>
  <c r="R213" i="1"/>
  <c r="R220" i="1"/>
  <c r="R211" i="1"/>
  <c r="R439" i="1"/>
  <c r="R190" i="1"/>
  <c r="R281" i="1"/>
  <c r="R263" i="1"/>
  <c r="R223" i="1"/>
  <c r="R71" i="1"/>
  <c r="R470" i="1"/>
  <c r="R306" i="1"/>
  <c r="R341" i="1"/>
  <c r="R28" i="1"/>
  <c r="R246" i="1"/>
  <c r="R475" i="1"/>
  <c r="R130" i="1"/>
  <c r="R25" i="1"/>
  <c r="R116" i="1"/>
  <c r="R243" i="1"/>
  <c r="R337" i="1"/>
  <c r="R135" i="1"/>
  <c r="R128" i="1"/>
  <c r="R382" i="1"/>
  <c r="R201" i="1"/>
  <c r="R76" i="1"/>
  <c r="R273" i="1"/>
  <c r="R209" i="1"/>
  <c r="R252" i="1"/>
  <c r="R180" i="1"/>
  <c r="R184" i="1"/>
  <c r="R206" i="1"/>
  <c r="R406" i="1"/>
  <c r="R460" i="1"/>
  <c r="R82" i="1"/>
  <c r="R194" i="1"/>
  <c r="R471" i="1"/>
  <c r="R140" i="1"/>
  <c r="R269" i="1"/>
  <c r="R495" i="1"/>
  <c r="R249" i="1"/>
  <c r="R12" i="1"/>
  <c r="R126" i="1"/>
  <c r="R413" i="1"/>
  <c r="R402" i="1"/>
  <c r="R31" i="1"/>
  <c r="R335" i="1"/>
  <c r="R216" i="1"/>
  <c r="R484" i="1"/>
  <c r="R102" i="1"/>
  <c r="R227" i="1"/>
  <c r="R397" i="1"/>
  <c r="R166" i="1"/>
  <c r="R37" i="1"/>
  <c r="R137" i="1"/>
  <c r="R77" i="1"/>
  <c r="R2" i="1"/>
  <c r="R125" i="1"/>
  <c r="R291" i="1"/>
  <c r="R443" i="1"/>
  <c r="R298" i="1"/>
  <c r="R142" i="1"/>
  <c r="R476" i="1"/>
  <c r="R170" i="1"/>
  <c r="R99" i="1"/>
  <c r="R241" i="1"/>
  <c r="R239" i="1"/>
  <c r="R113" i="1"/>
  <c r="R66" i="1"/>
  <c r="R477" i="1"/>
  <c r="R434" i="1"/>
  <c r="R299" i="1"/>
  <c r="R379" i="1"/>
  <c r="R292" i="1"/>
  <c r="R286" i="1"/>
  <c r="R473" i="1"/>
  <c r="R344" i="1"/>
  <c r="R372" i="1"/>
  <c r="R307" i="1"/>
  <c r="R275" i="1"/>
  <c r="R339" i="1"/>
  <c r="R46" i="1"/>
  <c r="R203" i="1"/>
  <c r="R454" i="1"/>
  <c r="R338" i="1"/>
  <c r="R57" i="1"/>
  <c r="R217" i="1"/>
  <c r="R391" i="1"/>
  <c r="R181" i="1"/>
  <c r="R462" i="1"/>
  <c r="R14" i="1"/>
  <c r="R185" i="1"/>
  <c r="R283" i="1"/>
  <c r="R429" i="1"/>
  <c r="R104" i="1"/>
  <c r="R270" i="1"/>
  <c r="R370" i="1"/>
  <c r="R435" i="1"/>
  <c r="R364" i="1"/>
  <c r="R362" i="1"/>
  <c r="R154" i="1"/>
  <c r="R70" i="1"/>
  <c r="R398" i="1"/>
  <c r="R221" i="1"/>
  <c r="R78" i="1"/>
  <c r="R109" i="1"/>
  <c r="R261" i="1"/>
  <c r="R313" i="1"/>
  <c r="R17" i="1"/>
  <c r="R231" i="1"/>
  <c r="R450" i="1"/>
  <c r="R329" i="1"/>
  <c r="R36" i="1"/>
  <c r="R399" i="1"/>
  <c r="R58" i="1"/>
  <c r="R431" i="1"/>
  <c r="R18" i="1"/>
  <c r="R328" i="1"/>
  <c r="R103" i="1"/>
  <c r="R222" i="1"/>
  <c r="R353" i="1"/>
  <c r="R464" i="1"/>
  <c r="R147" i="1"/>
  <c r="R240" i="1"/>
  <c r="R64" i="1"/>
  <c r="R150" i="1"/>
  <c r="R60" i="1"/>
  <c r="R346" i="1"/>
  <c r="R133" i="1"/>
  <c r="R334" i="1"/>
  <c r="R94" i="1"/>
  <c r="R500" i="1"/>
  <c r="R16" i="1"/>
  <c r="R458" i="1"/>
  <c r="R101" i="1"/>
  <c r="R224" i="1"/>
  <c r="R19" i="1"/>
  <c r="R441" i="1"/>
  <c r="R202" i="1"/>
  <c r="R260" i="1"/>
  <c r="R368" i="1"/>
  <c r="R322" i="1"/>
  <c r="R26" i="1"/>
  <c r="R119" i="1"/>
  <c r="R479" i="1"/>
  <c r="R228" i="1"/>
  <c r="R417" i="1"/>
  <c r="R73" i="1"/>
  <c r="R331" i="1"/>
  <c r="R158" i="1"/>
  <c r="R377" i="1"/>
  <c r="R268" i="1"/>
  <c r="R295" i="1"/>
  <c r="R214" i="1"/>
  <c r="R138" i="1"/>
  <c r="R83" i="1"/>
  <c r="R204" i="1"/>
  <c r="R492" i="1"/>
  <c r="R494" i="1"/>
  <c r="R336" i="1"/>
  <c r="R481" i="1"/>
  <c r="R9" i="1"/>
  <c r="R384" i="1"/>
  <c r="R276" i="1"/>
  <c r="R230" i="1"/>
  <c r="R145" i="1"/>
  <c r="R451" i="1"/>
  <c r="R90" i="1"/>
  <c r="R369" i="1"/>
  <c r="R380" i="1"/>
  <c r="R92" i="1"/>
  <c r="R91" i="1"/>
  <c r="R212" i="1"/>
  <c r="R482" i="1"/>
  <c r="R411" i="1"/>
  <c r="R41" i="1"/>
  <c r="R62" i="1"/>
  <c r="R196" i="1"/>
  <c r="R106" i="1"/>
  <c r="R8" i="1"/>
  <c r="R151" i="1"/>
  <c r="R189" i="1"/>
  <c r="R80" i="1"/>
  <c r="R314" i="1"/>
  <c r="R363" i="1"/>
  <c r="R403" i="1"/>
  <c r="R357" i="1"/>
  <c r="R233" i="1"/>
  <c r="R280" i="1"/>
  <c r="R332" i="1"/>
  <c r="R320" i="1"/>
  <c r="R84" i="1"/>
  <c r="R412" i="1"/>
  <c r="R436" i="1"/>
  <c r="R97" i="1"/>
  <c r="R186" i="1"/>
  <c r="R215" i="1"/>
  <c r="R383" i="1"/>
  <c r="R455" i="1"/>
  <c r="R253" i="1"/>
  <c r="R285" i="1"/>
  <c r="R472" i="1"/>
  <c r="R256" i="1"/>
  <c r="R418" i="1"/>
  <c r="R165" i="1"/>
  <c r="R394" i="1"/>
  <c r="R43" i="1"/>
  <c r="R53" i="1"/>
  <c r="R465" i="1"/>
  <c r="R61" i="1"/>
  <c r="R351" i="1"/>
  <c r="R348" i="1"/>
  <c r="R218" i="1"/>
  <c r="R361" i="1"/>
  <c r="R27" i="1"/>
  <c r="R250" i="1"/>
  <c r="R367" i="1"/>
  <c r="R93" i="1"/>
  <c r="R287" i="1"/>
  <c r="R489" i="1"/>
  <c r="R54" i="1"/>
  <c r="R143" i="1"/>
  <c r="R414" i="1"/>
  <c r="R162" i="1"/>
  <c r="R493" i="1"/>
  <c r="R4" i="1"/>
  <c r="R284" i="1"/>
  <c r="R478" i="1"/>
  <c r="R305" i="1"/>
  <c r="R400" i="1"/>
  <c r="R20" i="1"/>
  <c r="R355" i="1"/>
  <c r="R50" i="1"/>
  <c r="R343" i="1"/>
  <c r="R433" i="1"/>
  <c r="R442" i="1"/>
  <c r="R173" i="1"/>
  <c r="R374" i="1"/>
  <c r="R85" i="1"/>
  <c r="R327" i="1"/>
  <c r="R88" i="1"/>
  <c r="R236" i="1"/>
  <c r="R56" i="1"/>
  <c r="R5" i="1"/>
  <c r="R301" i="1"/>
  <c r="R324" i="1"/>
  <c r="R386" i="1"/>
  <c r="R378" i="1"/>
  <c r="R466" i="1"/>
  <c r="R200" i="1"/>
  <c r="R420" i="1"/>
  <c r="R210" i="1"/>
  <c r="R205" i="1"/>
  <c r="R255" i="1"/>
  <c r="R257" i="1"/>
  <c r="R265" i="1"/>
  <c r="R174" i="1"/>
  <c r="R121" i="1"/>
  <c r="R303" i="1"/>
  <c r="R330" i="1"/>
  <c r="R34" i="1"/>
  <c r="R123" i="1"/>
  <c r="R293" i="1"/>
  <c r="R297" i="1"/>
  <c r="R356" i="1"/>
  <c r="R10" i="1"/>
  <c r="R132" i="1"/>
  <c r="R496" i="1"/>
  <c r="R148" i="1"/>
  <c r="R155" i="1"/>
  <c r="R304" i="1"/>
  <c r="R172" i="1"/>
  <c r="R156" i="1"/>
  <c r="R421" i="1"/>
  <c r="R146" i="1"/>
  <c r="R127" i="1"/>
  <c r="R404" i="1"/>
  <c r="R282" i="1"/>
  <c r="R467" i="1"/>
  <c r="R118" i="1"/>
  <c r="R491" i="1"/>
  <c r="R469" i="1"/>
  <c r="R47" i="1"/>
  <c r="R248" i="1"/>
  <c r="R13" i="1"/>
  <c r="R415" i="1"/>
  <c r="R483" i="1"/>
  <c r="R11" i="1"/>
  <c r="R63" i="1"/>
  <c r="R59" i="1"/>
  <c r="R44" i="1"/>
  <c r="R38" i="1"/>
  <c r="R86" i="1"/>
  <c r="R89" i="1"/>
  <c r="R68" i="1"/>
  <c r="R81" i="1"/>
  <c r="R110" i="1"/>
  <c r="R122" i="1"/>
  <c r="R115" i="1"/>
  <c r="R141" i="1"/>
  <c r="R152" i="1"/>
  <c r="R159" i="1"/>
  <c r="R191" i="1"/>
  <c r="R187" i="1"/>
  <c r="R171" i="1"/>
  <c r="R197" i="1"/>
  <c r="R161" i="1"/>
  <c r="R177" i="1"/>
  <c r="R207" i="1"/>
  <c r="R232" i="1"/>
  <c r="R242" i="1"/>
  <c r="R251" i="1"/>
  <c r="R294" i="1"/>
  <c r="R302" i="1"/>
  <c r="R262" i="1"/>
  <c r="R300" i="1"/>
  <c r="R264" i="1"/>
  <c r="R318" i="1"/>
  <c r="R319" i="1"/>
  <c r="R308" i="1"/>
  <c r="R347" i="1"/>
  <c r="R392" i="1"/>
  <c r="R381" i="1"/>
  <c r="R388" i="1"/>
  <c r="R390" i="1"/>
  <c r="R358" i="1"/>
  <c r="R389" i="1"/>
  <c r="R405" i="1"/>
  <c r="R376" i="1"/>
  <c r="R423" i="1"/>
  <c r="R446" i="1"/>
  <c r="R424" i="1"/>
  <c r="R448" i="1"/>
  <c r="R416" i="1"/>
  <c r="R428" i="1"/>
  <c r="R407" i="1"/>
  <c r="R468" i="1"/>
  <c r="R487" i="1"/>
  <c r="R457" i="1"/>
  <c r="R453" i="1"/>
  <c r="R449" i="1"/>
  <c r="R459" i="1"/>
  <c r="R52" i="1"/>
  <c r="R21" i="1"/>
  <c r="R49" i="1"/>
  <c r="R7" i="1"/>
  <c r="R55" i="1"/>
  <c r="R33" i="1"/>
  <c r="R29" i="1"/>
  <c r="R39" i="1"/>
  <c r="R23" i="1"/>
  <c r="R35" i="1"/>
  <c r="R51" i="1"/>
  <c r="R65" i="1"/>
  <c r="R72" i="1"/>
  <c r="R96" i="1"/>
  <c r="R87" i="1"/>
  <c r="R139" i="1"/>
  <c r="R157" i="1"/>
  <c r="R117" i="1"/>
  <c r="R144" i="1"/>
  <c r="R129" i="1"/>
  <c r="R114" i="1"/>
  <c r="R183" i="1"/>
  <c r="R198" i="1"/>
  <c r="R175" i="1"/>
  <c r="R168" i="1"/>
  <c r="R178" i="1"/>
  <c r="R195" i="1"/>
  <c r="R199" i="1"/>
  <c r="R163" i="1"/>
  <c r="R169" i="1"/>
  <c r="R229" i="1"/>
  <c r="R237" i="1"/>
  <c r="R244" i="1"/>
  <c r="R225" i="1"/>
  <c r="R235" i="1"/>
  <c r="R266" i="1"/>
  <c r="R272" i="1"/>
  <c r="R271" i="1"/>
  <c r="R290" i="1"/>
  <c r="R258" i="1"/>
  <c r="R259" i="1"/>
  <c r="R288" i="1"/>
  <c r="R296" i="1"/>
  <c r="R354" i="1"/>
  <c r="R316" i="1"/>
  <c r="R340" i="1"/>
  <c r="R325" i="1"/>
  <c r="R317" i="1"/>
  <c r="R321" i="1"/>
  <c r="R349" i="1"/>
  <c r="R395" i="1"/>
  <c r="R371" i="1"/>
  <c r="R373" i="1"/>
  <c r="R365" i="1"/>
  <c r="R409" i="1"/>
  <c r="R437" i="1"/>
  <c r="R425" i="1"/>
  <c r="R447" i="1"/>
  <c r="R432" i="1"/>
  <c r="R474" i="1"/>
  <c r="R501" i="1"/>
  <c r="R456" i="1"/>
  <c r="R485" i="1"/>
  <c r="R486" i="1"/>
  <c r="R497" i="1"/>
  <c r="P396" i="1"/>
  <c r="O396" i="1"/>
  <c r="L41" i="1"/>
  <c r="M41" i="1" s="1"/>
  <c r="L62" i="1"/>
  <c r="M62" i="1" s="1"/>
  <c r="L196" i="1"/>
  <c r="M196" i="1" s="1"/>
  <c r="L106" i="1"/>
  <c r="M106" i="1" s="1"/>
  <c r="L480" i="1"/>
  <c r="M480" i="1" s="1"/>
  <c r="L137" i="1"/>
  <c r="M137" i="1" s="1"/>
  <c r="L430" i="1"/>
  <c r="M430" i="1" s="1"/>
  <c r="L58" i="1"/>
  <c r="M58" i="1" s="1"/>
  <c r="L289" i="1"/>
  <c r="M289" i="1" s="1"/>
  <c r="L8" i="1"/>
  <c r="M8" i="1" s="1"/>
  <c r="L245" i="1"/>
  <c r="M245" i="1" s="1"/>
  <c r="L151" i="1"/>
  <c r="M151" i="1" s="1"/>
  <c r="L64" i="1"/>
  <c r="M64" i="1" s="1"/>
  <c r="L189" i="1"/>
  <c r="M189" i="1" s="1"/>
  <c r="L401" i="1"/>
  <c r="M401" i="1" s="1"/>
  <c r="L80" i="1"/>
  <c r="M80" i="1" s="1"/>
  <c r="L286" i="1"/>
  <c r="M286" i="1" s="1"/>
  <c r="L314" i="1"/>
  <c r="M314" i="1" s="1"/>
  <c r="L103" i="1"/>
  <c r="M103" i="1" s="1"/>
  <c r="L363" i="1"/>
  <c r="M363" i="1" s="1"/>
  <c r="L377" i="1"/>
  <c r="M377" i="1" s="1"/>
  <c r="L352" i="1"/>
  <c r="M352" i="1" s="1"/>
  <c r="L403" i="1"/>
  <c r="M403" i="1" s="1"/>
  <c r="L357" i="1"/>
  <c r="M357" i="1" s="1"/>
  <c r="L233" i="1"/>
  <c r="M233" i="1" s="1"/>
  <c r="L268" i="1"/>
  <c r="M268" i="1" s="1"/>
  <c r="L280" i="1"/>
  <c r="M280" i="1" s="1"/>
  <c r="L332" i="1"/>
  <c r="M332" i="1" s="1"/>
  <c r="L320" i="1"/>
  <c r="M320" i="1" s="1"/>
  <c r="L30" i="1"/>
  <c r="M30" i="1" s="1"/>
  <c r="L380" i="1"/>
  <c r="M380" i="1" s="1"/>
  <c r="L84" i="1"/>
  <c r="M84" i="1" s="1"/>
  <c r="L108" i="1"/>
  <c r="M108" i="1" s="1"/>
  <c r="L78" i="1"/>
  <c r="M78" i="1" s="1"/>
  <c r="L124" i="1"/>
  <c r="M124" i="1" s="1"/>
  <c r="L412" i="1"/>
  <c r="M412" i="1" s="1"/>
  <c r="L436" i="1"/>
  <c r="M436" i="1" s="1"/>
  <c r="L451" i="1"/>
  <c r="M451" i="1" s="1"/>
  <c r="L97" i="1"/>
  <c r="M97" i="1" s="1"/>
  <c r="L246" i="1"/>
  <c r="M246" i="1" s="1"/>
  <c r="L440" i="1"/>
  <c r="M440" i="1" s="1"/>
  <c r="L70" i="1"/>
  <c r="M70" i="1" s="1"/>
  <c r="L186" i="1"/>
  <c r="M186" i="1" s="1"/>
  <c r="L215" i="1"/>
  <c r="M215" i="1" s="1"/>
  <c r="L383" i="1"/>
  <c r="M383" i="1" s="1"/>
  <c r="L364" i="1"/>
  <c r="M364" i="1" s="1"/>
  <c r="L455" i="1"/>
  <c r="M455" i="1" s="1"/>
  <c r="L275" i="1"/>
  <c r="M275" i="1" s="1"/>
  <c r="L279" i="1"/>
  <c r="M279" i="1" s="1"/>
  <c r="L484" i="1"/>
  <c r="M484" i="1" s="1"/>
  <c r="L253" i="1"/>
  <c r="M253" i="1" s="1"/>
  <c r="L285" i="1"/>
  <c r="M285" i="1" s="1"/>
  <c r="L472" i="1"/>
  <c r="M472" i="1" s="1"/>
  <c r="L256" i="1"/>
  <c r="M256" i="1" s="1"/>
  <c r="L309" i="1"/>
  <c r="M309" i="1" s="1"/>
  <c r="L418" i="1"/>
  <c r="M418" i="1" s="1"/>
  <c r="L130" i="1"/>
  <c r="M130" i="1" s="1"/>
  <c r="L165" i="1"/>
  <c r="M165" i="1" s="1"/>
  <c r="L362" i="1"/>
  <c r="M362" i="1" s="1"/>
  <c r="L394" i="1"/>
  <c r="M394" i="1" s="1"/>
  <c r="L43" i="1"/>
  <c r="M43" i="1" s="1"/>
  <c r="L273" i="1"/>
  <c r="M273" i="1" s="1"/>
  <c r="L188" i="1"/>
  <c r="M188" i="1" s="1"/>
  <c r="L182" i="1"/>
  <c r="M182" i="1" s="1"/>
  <c r="L92" i="1"/>
  <c r="M92" i="1" s="1"/>
  <c r="L247" i="1"/>
  <c r="M247" i="1" s="1"/>
  <c r="L470" i="1"/>
  <c r="M470" i="1" s="1"/>
  <c r="L53" i="1"/>
  <c r="M53" i="1" s="1"/>
  <c r="L69" i="1"/>
  <c r="M69" i="1" s="1"/>
  <c r="L57" i="1"/>
  <c r="M57" i="1" s="1"/>
  <c r="L406" i="1"/>
  <c r="M406" i="1" s="1"/>
  <c r="L104" i="1"/>
  <c r="M104" i="1" s="1"/>
  <c r="L18" i="1"/>
  <c r="M18" i="1" s="1"/>
  <c r="L270" i="1"/>
  <c r="M270" i="1" s="1"/>
  <c r="L396" i="1"/>
  <c r="M396" i="1" s="1"/>
  <c r="L465" i="1"/>
  <c r="M465" i="1" s="1"/>
  <c r="L61" i="1"/>
  <c r="M61" i="1" s="1"/>
  <c r="L145" i="1"/>
  <c r="M145" i="1" s="1"/>
  <c r="L180" i="1"/>
  <c r="M180" i="1" s="1"/>
  <c r="L276" i="1"/>
  <c r="M276" i="1" s="1"/>
  <c r="L351" i="1"/>
  <c r="M351" i="1" s="1"/>
  <c r="L348" i="1"/>
  <c r="M348" i="1" s="1"/>
  <c r="L218" i="1"/>
  <c r="M218" i="1" s="1"/>
  <c r="L283" i="1"/>
  <c r="M283" i="1" s="1"/>
  <c r="L361" i="1"/>
  <c r="M361" i="1" s="1"/>
  <c r="L208" i="1"/>
  <c r="M208" i="1" s="1"/>
  <c r="L488" i="1"/>
  <c r="M488" i="1" s="1"/>
  <c r="L27" i="1"/>
  <c r="M27" i="1" s="1"/>
  <c r="L250" i="1"/>
  <c r="M250" i="1" s="1"/>
  <c r="L367" i="1"/>
  <c r="M367" i="1" s="1"/>
  <c r="L368" i="1"/>
  <c r="M368" i="1" s="1"/>
  <c r="L93" i="1"/>
  <c r="M93" i="1" s="1"/>
  <c r="L90" i="1"/>
  <c r="M90" i="1" s="1"/>
  <c r="L142" i="1"/>
  <c r="M142" i="1" s="1"/>
  <c r="L287" i="1"/>
  <c r="M287" i="1" s="1"/>
  <c r="L489" i="1"/>
  <c r="M489" i="1" s="1"/>
  <c r="L54" i="1"/>
  <c r="M54" i="1" s="1"/>
  <c r="L143" i="1"/>
  <c r="M143" i="1" s="1"/>
  <c r="L25" i="1"/>
  <c r="M25" i="1" s="1"/>
  <c r="L241" i="1"/>
  <c r="M241" i="1" s="1"/>
  <c r="L414" i="1"/>
  <c r="M414" i="1" s="1"/>
  <c r="L162" i="1"/>
  <c r="M162" i="1" s="1"/>
  <c r="L493" i="1"/>
  <c r="M493" i="1" s="1"/>
  <c r="L3" i="1"/>
  <c r="M3" i="1" s="1"/>
  <c r="L4" i="1"/>
  <c r="M4" i="1" s="1"/>
  <c r="L284" i="1"/>
  <c r="M284" i="1" s="1"/>
  <c r="L311" i="1"/>
  <c r="M311" i="1" s="1"/>
  <c r="L478" i="1"/>
  <c r="M478" i="1" s="1"/>
  <c r="L116" i="1"/>
  <c r="M116" i="1" s="1"/>
  <c r="L133" i="1"/>
  <c r="M133" i="1" s="1"/>
  <c r="L305" i="1"/>
  <c r="M305" i="1" s="1"/>
  <c r="L400" i="1"/>
  <c r="M400" i="1" s="1"/>
  <c r="L19" i="1"/>
  <c r="M19" i="1" s="1"/>
  <c r="L20" i="1"/>
  <c r="M20" i="1" s="1"/>
  <c r="L222" i="1"/>
  <c r="M222" i="1" s="1"/>
  <c r="L355" i="1"/>
  <c r="M355" i="1" s="1"/>
  <c r="L50" i="1"/>
  <c r="M50" i="1" s="1"/>
  <c r="L350" i="1"/>
  <c r="M350" i="1" s="1"/>
  <c r="L494" i="1"/>
  <c r="M494" i="1" s="1"/>
  <c r="L113" i="1"/>
  <c r="M113" i="1" s="1"/>
  <c r="L343" i="1"/>
  <c r="M343" i="1" s="1"/>
  <c r="L433" i="1"/>
  <c r="M433" i="1" s="1"/>
  <c r="L442" i="1"/>
  <c r="M442" i="1" s="1"/>
  <c r="L173" i="1"/>
  <c r="M173" i="1" s="1"/>
  <c r="L391" i="1"/>
  <c r="M391" i="1" s="1"/>
  <c r="L37" i="1"/>
  <c r="M37" i="1" s="1"/>
  <c r="L374" i="1"/>
  <c r="M374" i="1" s="1"/>
  <c r="L85" i="1"/>
  <c r="M85" i="1" s="1"/>
  <c r="L339" i="1"/>
  <c r="M339" i="1" s="1"/>
  <c r="L327" i="1"/>
  <c r="M327" i="1" s="1"/>
  <c r="L88" i="1"/>
  <c r="M88" i="1" s="1"/>
  <c r="L136" i="1"/>
  <c r="M136" i="1" s="1"/>
  <c r="L243" i="1"/>
  <c r="M243" i="1" s="1"/>
  <c r="L221" i="1"/>
  <c r="M221" i="1" s="1"/>
  <c r="L336" i="1"/>
  <c r="M336" i="1" s="1"/>
  <c r="L66" i="1"/>
  <c r="M66" i="1" s="1"/>
  <c r="L158" i="1"/>
  <c r="M158" i="1" s="1"/>
  <c r="L236" i="1"/>
  <c r="M236" i="1" s="1"/>
  <c r="L254" i="1"/>
  <c r="M254" i="1" s="1"/>
  <c r="L315" i="1"/>
  <c r="M315" i="1" s="1"/>
  <c r="L435" i="1"/>
  <c r="M435" i="1" s="1"/>
  <c r="L56" i="1"/>
  <c r="M56" i="1" s="1"/>
  <c r="L5" i="1"/>
  <c r="M5" i="1" s="1"/>
  <c r="L234" i="1"/>
  <c r="M234" i="1" s="1"/>
  <c r="L301" i="1"/>
  <c r="M301" i="1" s="1"/>
  <c r="L324" i="1"/>
  <c r="M324" i="1" s="1"/>
  <c r="L386" i="1"/>
  <c r="M386" i="1" s="1"/>
  <c r="L378" i="1"/>
  <c r="M378" i="1" s="1"/>
  <c r="L500" i="1"/>
  <c r="M500" i="1" s="1"/>
  <c r="L212" i="1"/>
  <c r="M212" i="1" s="1"/>
  <c r="L466" i="1"/>
  <c r="M466" i="1" s="1"/>
  <c r="L67" i="1"/>
  <c r="M67" i="1" s="1"/>
  <c r="L477" i="1"/>
  <c r="M477" i="1" s="1"/>
  <c r="L200" i="1"/>
  <c r="M200" i="1" s="1"/>
  <c r="L228" i="1"/>
  <c r="M228" i="1" s="1"/>
  <c r="L231" i="1"/>
  <c r="M231" i="1" s="1"/>
  <c r="L393" i="1"/>
  <c r="M393" i="1" s="1"/>
  <c r="L398" i="1"/>
  <c r="M398" i="1" s="1"/>
  <c r="L420" i="1"/>
  <c r="M420" i="1" s="1"/>
  <c r="L99" i="1"/>
  <c r="M99" i="1" s="1"/>
  <c r="L353" i="1"/>
  <c r="M353" i="1" s="1"/>
  <c r="L79" i="1"/>
  <c r="M79" i="1" s="1"/>
  <c r="L149" i="1"/>
  <c r="M149" i="1" s="1"/>
  <c r="L210" i="1"/>
  <c r="M210" i="1" s="1"/>
  <c r="L482" i="1"/>
  <c r="M482" i="1" s="1"/>
  <c r="L60" i="1"/>
  <c r="M60" i="1" s="1"/>
  <c r="L205" i="1"/>
  <c r="M205" i="1" s="1"/>
  <c r="L255" i="1"/>
  <c r="M255" i="1" s="1"/>
  <c r="L257" i="1"/>
  <c r="M257" i="1" s="1"/>
  <c r="L265" i="1"/>
  <c r="M265" i="1" s="1"/>
  <c r="L443" i="1"/>
  <c r="M443" i="1" s="1"/>
  <c r="L475" i="1"/>
  <c r="M475" i="1" s="1"/>
  <c r="L36" i="1"/>
  <c r="M36" i="1" s="1"/>
  <c r="L174" i="1"/>
  <c r="M174" i="1" s="1"/>
  <c r="L281" i="1"/>
  <c r="M281" i="1" s="1"/>
  <c r="L345" i="1"/>
  <c r="M345" i="1" s="1"/>
  <c r="L249" i="1"/>
  <c r="M249" i="1" s="1"/>
  <c r="L458" i="1"/>
  <c r="M458" i="1" s="1"/>
  <c r="L121" i="1"/>
  <c r="M121" i="1" s="1"/>
  <c r="L303" i="1"/>
  <c r="M303" i="1" s="1"/>
  <c r="L330" i="1"/>
  <c r="M330" i="1" s="1"/>
  <c r="L34" i="1"/>
  <c r="M34" i="1" s="1"/>
  <c r="L123" i="1"/>
  <c r="M123" i="1" s="1"/>
  <c r="L481" i="1"/>
  <c r="M481" i="1" s="1"/>
  <c r="L460" i="1"/>
  <c r="M460" i="1" s="1"/>
  <c r="L293" i="1"/>
  <c r="M293" i="1" s="1"/>
  <c r="L274" i="1"/>
  <c r="M274" i="1" s="1"/>
  <c r="L408" i="1"/>
  <c r="M408" i="1" s="1"/>
  <c r="L73" i="1"/>
  <c r="M73" i="1" s="1"/>
  <c r="L297" i="1"/>
  <c r="M297" i="1" s="1"/>
  <c r="L356" i="1"/>
  <c r="M356" i="1" s="1"/>
  <c r="L439" i="1"/>
  <c r="M439" i="1" s="1"/>
  <c r="L10" i="1"/>
  <c r="M10" i="1" s="1"/>
  <c r="L112" i="1"/>
  <c r="M112" i="1" s="1"/>
  <c r="L132" i="1"/>
  <c r="M132" i="1" s="1"/>
  <c r="L372" i="1"/>
  <c r="M372" i="1" s="1"/>
  <c r="L496" i="1"/>
  <c r="M496" i="1" s="1"/>
  <c r="L148" i="1"/>
  <c r="M148" i="1" s="1"/>
  <c r="L155" i="1"/>
  <c r="M155" i="1" s="1"/>
  <c r="L304" i="1"/>
  <c r="M304" i="1" s="1"/>
  <c r="L172" i="1"/>
  <c r="M172" i="1" s="1"/>
  <c r="L156" i="1"/>
  <c r="M156" i="1" s="1"/>
  <c r="L421" i="1"/>
  <c r="M421" i="1" s="1"/>
  <c r="L422" i="1"/>
  <c r="M422" i="1" s="1"/>
  <c r="L146" i="1"/>
  <c r="M146" i="1" s="1"/>
  <c r="L127" i="1"/>
  <c r="M127" i="1" s="1"/>
  <c r="L181" i="1"/>
  <c r="M181" i="1" s="1"/>
  <c r="L230" i="1"/>
  <c r="M230" i="1" s="1"/>
  <c r="L404" i="1"/>
  <c r="M404" i="1" s="1"/>
  <c r="L282" i="1"/>
  <c r="M282" i="1" s="1"/>
  <c r="L471" i="1"/>
  <c r="M471" i="1" s="1"/>
  <c r="L467" i="1"/>
  <c r="M467" i="1" s="1"/>
  <c r="L454" i="1"/>
  <c r="M454" i="1" s="1"/>
  <c r="L150" i="1"/>
  <c r="M150" i="1" s="1"/>
  <c r="L118" i="1"/>
  <c r="M118" i="1" s="1"/>
  <c r="L479" i="1"/>
  <c r="M479" i="1" s="1"/>
  <c r="L491" i="1"/>
  <c r="M491" i="1" s="1"/>
  <c r="L469" i="1"/>
  <c r="M469" i="1" s="1"/>
  <c r="L166" i="1"/>
  <c r="M166" i="1" s="1"/>
  <c r="L47" i="1"/>
  <c r="M47" i="1" s="1"/>
  <c r="L185" i="1"/>
  <c r="M185" i="1" s="1"/>
  <c r="L179" i="1"/>
  <c r="M179" i="1" s="1"/>
  <c r="L248" i="1"/>
  <c r="M248" i="1" s="1"/>
  <c r="L269" i="1"/>
  <c r="M269" i="1" s="1"/>
  <c r="L13" i="1"/>
  <c r="M13" i="1" s="1"/>
  <c r="L415" i="1"/>
  <c r="M415" i="1" s="1"/>
  <c r="L24" i="1"/>
  <c r="M24" i="1" s="1"/>
  <c r="L238" i="1"/>
  <c r="M238" i="1" s="1"/>
  <c r="L483" i="1"/>
  <c r="M483" i="1" s="1"/>
  <c r="L370" i="1"/>
  <c r="M370" i="1" s="1"/>
  <c r="L476" i="1"/>
  <c r="M476" i="1" s="1"/>
  <c r="L167" i="1"/>
  <c r="M167" i="1" s="1"/>
  <c r="L213" i="1"/>
  <c r="M213" i="1" s="1"/>
  <c r="L434" i="1"/>
  <c r="M434" i="1" s="1"/>
  <c r="L204" i="1"/>
  <c r="M204" i="1" s="1"/>
  <c r="L16" i="1"/>
  <c r="M16" i="1" s="1"/>
  <c r="L26" i="1"/>
  <c r="M26" i="1" s="1"/>
  <c r="L11" i="1"/>
  <c r="M11" i="1" s="1"/>
  <c r="L63" i="1"/>
  <c r="M63" i="1" s="1"/>
  <c r="L59" i="1"/>
  <c r="M59" i="1" s="1"/>
  <c r="L44" i="1"/>
  <c r="M44" i="1" s="1"/>
  <c r="L2" i="1"/>
  <c r="M2" i="1" s="1"/>
  <c r="L38" i="1"/>
  <c r="M38" i="1" s="1"/>
  <c r="L77" i="1"/>
  <c r="M77" i="1" s="1"/>
  <c r="L86" i="1"/>
  <c r="M86" i="1" s="1"/>
  <c r="L91" i="1"/>
  <c r="M91" i="1" s="1"/>
  <c r="L89" i="1"/>
  <c r="M89" i="1" s="1"/>
  <c r="L68" i="1"/>
  <c r="M68" i="1" s="1"/>
  <c r="L71" i="1"/>
  <c r="M71" i="1" s="1"/>
  <c r="L109" i="1"/>
  <c r="M109" i="1" s="1"/>
  <c r="L95" i="1"/>
  <c r="M95" i="1" s="1"/>
  <c r="L81" i="1"/>
  <c r="M81" i="1" s="1"/>
  <c r="L110" i="1"/>
  <c r="M110" i="1" s="1"/>
  <c r="L122" i="1"/>
  <c r="M122" i="1" s="1"/>
  <c r="L153" i="1"/>
  <c r="M153" i="1" s="1"/>
  <c r="L125" i="1"/>
  <c r="M125" i="1" s="1"/>
  <c r="L138" i="1"/>
  <c r="M138" i="1" s="1"/>
  <c r="L135" i="1"/>
  <c r="M135" i="1" s="1"/>
  <c r="L115" i="1"/>
  <c r="M115" i="1" s="1"/>
  <c r="L141" i="1"/>
  <c r="M141" i="1" s="1"/>
  <c r="L152" i="1"/>
  <c r="M152" i="1" s="1"/>
  <c r="L159" i="1"/>
  <c r="M159" i="1" s="1"/>
  <c r="L154" i="1"/>
  <c r="M154" i="1" s="1"/>
  <c r="L128" i="1"/>
  <c r="M128" i="1" s="1"/>
  <c r="L119" i="1"/>
  <c r="M119" i="1" s="1"/>
  <c r="L192" i="1"/>
  <c r="M192" i="1" s="1"/>
  <c r="L191" i="1"/>
  <c r="M191" i="1" s="1"/>
  <c r="L187" i="1"/>
  <c r="M187" i="1" s="1"/>
  <c r="L171" i="1"/>
  <c r="M171" i="1" s="1"/>
  <c r="L197" i="1"/>
  <c r="M197" i="1" s="1"/>
  <c r="L160" i="1"/>
  <c r="M160" i="1" s="1"/>
  <c r="L209" i="1"/>
  <c r="M209" i="1" s="1"/>
  <c r="L161" i="1"/>
  <c r="M161" i="1" s="1"/>
  <c r="L177" i="1"/>
  <c r="M177" i="1" s="1"/>
  <c r="L207" i="1"/>
  <c r="M207" i="1" s="1"/>
  <c r="L203" i="1"/>
  <c r="M203" i="1" s="1"/>
  <c r="L206" i="1"/>
  <c r="M206" i="1" s="1"/>
  <c r="L190" i="1"/>
  <c r="M190" i="1" s="1"/>
  <c r="L202" i="1"/>
  <c r="M202" i="1" s="1"/>
  <c r="L211" i="1"/>
  <c r="M211" i="1" s="1"/>
  <c r="L214" i="1"/>
  <c r="M214" i="1" s="1"/>
  <c r="L232" i="1"/>
  <c r="M232" i="1" s="1"/>
  <c r="L242" i="1"/>
  <c r="M242" i="1" s="1"/>
  <c r="L224" i="1"/>
  <c r="M224" i="1" s="1"/>
  <c r="L239" i="1"/>
  <c r="M239" i="1" s="1"/>
  <c r="L227" i="1"/>
  <c r="M227" i="1" s="1"/>
  <c r="L216" i="1"/>
  <c r="M216" i="1" s="1"/>
  <c r="L251" i="1"/>
  <c r="M251" i="1" s="1"/>
  <c r="L294" i="1"/>
  <c r="M294" i="1" s="1"/>
  <c r="L302" i="1"/>
  <c r="M302" i="1" s="1"/>
  <c r="L292" i="1"/>
  <c r="M292" i="1" s="1"/>
  <c r="L262" i="1"/>
  <c r="M262" i="1" s="1"/>
  <c r="L267" i="1"/>
  <c r="M267" i="1" s="1"/>
  <c r="L260" i="1"/>
  <c r="M260" i="1" s="1"/>
  <c r="L300" i="1"/>
  <c r="M300" i="1" s="1"/>
  <c r="L264" i="1"/>
  <c r="M264" i="1" s="1"/>
  <c r="L323" i="1"/>
  <c r="M323" i="1" s="1"/>
  <c r="L331" i="1"/>
  <c r="M331" i="1" s="1"/>
  <c r="L342" i="1"/>
  <c r="M342" i="1" s="1"/>
  <c r="L318" i="1"/>
  <c r="M318" i="1" s="1"/>
  <c r="L338" i="1"/>
  <c r="M338" i="1" s="1"/>
  <c r="L319" i="1"/>
  <c r="M319" i="1" s="1"/>
  <c r="L308" i="1"/>
  <c r="M308" i="1" s="1"/>
  <c r="L313" i="1"/>
  <c r="M313" i="1" s="1"/>
  <c r="L328" i="1"/>
  <c r="M328" i="1" s="1"/>
  <c r="L335" i="1"/>
  <c r="M335" i="1" s="1"/>
  <c r="L329" i="1"/>
  <c r="M329" i="1" s="1"/>
  <c r="L347" i="1"/>
  <c r="M347" i="1" s="1"/>
  <c r="L333" i="1"/>
  <c r="M333" i="1" s="1"/>
  <c r="L385" i="1"/>
  <c r="M385" i="1" s="1"/>
  <c r="L392" i="1"/>
  <c r="M392" i="1" s="1"/>
  <c r="L381" i="1"/>
  <c r="M381" i="1" s="1"/>
  <c r="L388" i="1"/>
  <c r="M388" i="1" s="1"/>
  <c r="L390" i="1"/>
  <c r="M390" i="1" s="1"/>
  <c r="L397" i="1"/>
  <c r="M397" i="1" s="1"/>
  <c r="L402" i="1"/>
  <c r="M402" i="1" s="1"/>
  <c r="L358" i="1"/>
  <c r="M358" i="1" s="1"/>
  <c r="L389" i="1"/>
  <c r="M389" i="1" s="1"/>
  <c r="L405" i="1"/>
  <c r="M405" i="1" s="1"/>
  <c r="L379" i="1"/>
  <c r="M379" i="1" s="1"/>
  <c r="L359" i="1"/>
  <c r="M359" i="1" s="1"/>
  <c r="L369" i="1"/>
  <c r="M369" i="1" s="1"/>
  <c r="L376" i="1"/>
  <c r="M376" i="1" s="1"/>
  <c r="L382" i="1"/>
  <c r="M382" i="1" s="1"/>
  <c r="L423" i="1"/>
  <c r="M423" i="1" s="1"/>
  <c r="L446" i="1"/>
  <c r="M446" i="1" s="1"/>
  <c r="L445" i="1"/>
  <c r="M445" i="1" s="1"/>
  <c r="L424" i="1"/>
  <c r="M424" i="1" s="1"/>
  <c r="L448" i="1"/>
  <c r="M448" i="1" s="1"/>
  <c r="L416" i="1"/>
  <c r="M416" i="1" s="1"/>
  <c r="L427" i="1"/>
  <c r="M427" i="1" s="1"/>
  <c r="L431" i="1"/>
  <c r="M431" i="1" s="1"/>
  <c r="L411" i="1"/>
  <c r="M411" i="1" s="1"/>
  <c r="L444" i="1"/>
  <c r="M444" i="1" s="1"/>
  <c r="L428" i="1"/>
  <c r="M428" i="1" s="1"/>
  <c r="L407" i="1"/>
  <c r="M407" i="1" s="1"/>
  <c r="L413" i="1"/>
  <c r="M413" i="1" s="1"/>
  <c r="L468" i="1"/>
  <c r="M468" i="1" s="1"/>
  <c r="L462" i="1"/>
  <c r="M462" i="1" s="1"/>
  <c r="L487" i="1"/>
  <c r="M487" i="1" s="1"/>
  <c r="L457" i="1"/>
  <c r="M457" i="1" s="1"/>
  <c r="L453" i="1"/>
  <c r="M453" i="1" s="1"/>
  <c r="L449" i="1"/>
  <c r="M449" i="1" s="1"/>
  <c r="L459" i="1"/>
  <c r="M459" i="1" s="1"/>
  <c r="L463" i="1"/>
  <c r="M463" i="1" s="1"/>
  <c r="L52" i="1"/>
  <c r="M52" i="1" s="1"/>
  <c r="L28" i="1"/>
  <c r="M28" i="1" s="1"/>
  <c r="L21" i="1"/>
  <c r="M21" i="1" s="1"/>
  <c r="L49" i="1"/>
  <c r="M49" i="1" s="1"/>
  <c r="L31" i="1"/>
  <c r="M31" i="1" s="1"/>
  <c r="L17" i="1"/>
  <c r="M17" i="1" s="1"/>
  <c r="L7" i="1"/>
  <c r="M7" i="1" s="1"/>
  <c r="L12" i="1"/>
  <c r="M12" i="1" s="1"/>
  <c r="L42" i="1"/>
  <c r="M42" i="1" s="1"/>
  <c r="L14" i="1"/>
  <c r="M14" i="1" s="1"/>
  <c r="L22" i="1"/>
  <c r="M22" i="1" s="1"/>
  <c r="L55" i="1"/>
  <c r="M55" i="1" s="1"/>
  <c r="L33" i="1"/>
  <c r="M33" i="1" s="1"/>
  <c r="L32" i="1"/>
  <c r="M32" i="1" s="1"/>
  <c r="L29" i="1"/>
  <c r="M29" i="1" s="1"/>
  <c r="L39" i="1"/>
  <c r="M39" i="1" s="1"/>
  <c r="L23" i="1"/>
  <c r="M23" i="1" s="1"/>
  <c r="L9" i="1"/>
  <c r="M9" i="1" s="1"/>
  <c r="L35" i="1"/>
  <c r="M35" i="1" s="1"/>
  <c r="L51" i="1"/>
  <c r="M51" i="1" s="1"/>
  <c r="L46" i="1"/>
  <c r="M46" i="1" s="1"/>
  <c r="L105" i="1"/>
  <c r="M105" i="1" s="1"/>
  <c r="L74" i="1"/>
  <c r="M74" i="1" s="1"/>
  <c r="L82" i="1"/>
  <c r="M82" i="1" s="1"/>
  <c r="L65" i="1"/>
  <c r="M65" i="1" s="1"/>
  <c r="L72" i="1"/>
  <c r="M72" i="1" s="1"/>
  <c r="L107" i="1"/>
  <c r="M107" i="1" s="1"/>
  <c r="L96" i="1"/>
  <c r="M96" i="1" s="1"/>
  <c r="L94" i="1"/>
  <c r="M94" i="1" s="1"/>
  <c r="L102" i="1"/>
  <c r="M102" i="1" s="1"/>
  <c r="L83" i="1"/>
  <c r="M83" i="1" s="1"/>
  <c r="L87" i="1"/>
  <c r="M87" i="1" s="1"/>
  <c r="L101" i="1"/>
  <c r="M101" i="1" s="1"/>
  <c r="L76" i="1"/>
  <c r="M76" i="1" s="1"/>
  <c r="L111" i="1"/>
  <c r="M111" i="1" s="1"/>
  <c r="L139" i="1"/>
  <c r="M139" i="1" s="1"/>
  <c r="L126" i="1"/>
  <c r="M126" i="1" s="1"/>
  <c r="L157" i="1"/>
  <c r="M157" i="1" s="1"/>
  <c r="L117" i="1"/>
  <c r="M117" i="1" s="1"/>
  <c r="L144" i="1"/>
  <c r="M144" i="1" s="1"/>
  <c r="L129" i="1"/>
  <c r="M129" i="1" s="1"/>
  <c r="L147" i="1"/>
  <c r="M147" i="1" s="1"/>
  <c r="L114" i="1"/>
  <c r="M114" i="1" s="1"/>
  <c r="L131" i="1"/>
  <c r="M131" i="1" s="1"/>
  <c r="L140" i="1"/>
  <c r="M140" i="1" s="1"/>
  <c r="L183" i="1"/>
  <c r="M183" i="1" s="1"/>
  <c r="L198" i="1"/>
  <c r="M198" i="1" s="1"/>
  <c r="L201" i="1"/>
  <c r="M201" i="1" s="1"/>
  <c r="L175" i="1"/>
  <c r="M175" i="1" s="1"/>
  <c r="L168" i="1"/>
  <c r="M168" i="1" s="1"/>
  <c r="L178" i="1"/>
  <c r="M178" i="1" s="1"/>
  <c r="L184" i="1"/>
  <c r="M184" i="1" s="1"/>
  <c r="L170" i="1"/>
  <c r="M170" i="1" s="1"/>
  <c r="L195" i="1"/>
  <c r="M195" i="1" s="1"/>
  <c r="L199" i="1"/>
  <c r="M199" i="1" s="1"/>
  <c r="L163" i="1"/>
  <c r="M163" i="1" s="1"/>
  <c r="L169" i="1"/>
  <c r="M169" i="1" s="1"/>
  <c r="L194" i="1"/>
  <c r="M194" i="1" s="1"/>
  <c r="L240" i="1"/>
  <c r="M240" i="1" s="1"/>
  <c r="L229" i="1"/>
  <c r="M229" i="1" s="1"/>
  <c r="L237" i="1"/>
  <c r="M237" i="1" s="1"/>
  <c r="L220" i="1"/>
  <c r="M220" i="1" s="1"/>
  <c r="L226" i="1"/>
  <c r="M226" i="1" s="1"/>
  <c r="L244" i="1"/>
  <c r="M244" i="1" s="1"/>
  <c r="L225" i="1"/>
  <c r="M225" i="1" s="1"/>
  <c r="L223" i="1"/>
  <c r="M223" i="1" s="1"/>
  <c r="L217" i="1"/>
  <c r="M217" i="1" s="1"/>
  <c r="L235" i="1"/>
  <c r="M235" i="1" s="1"/>
  <c r="L266" i="1"/>
  <c r="M266" i="1" s="1"/>
  <c r="L272" i="1"/>
  <c r="M272" i="1" s="1"/>
  <c r="L271" i="1"/>
  <c r="M271" i="1" s="1"/>
  <c r="L299" i="1"/>
  <c r="M299" i="1" s="1"/>
  <c r="L261" i="1"/>
  <c r="M261" i="1" s="1"/>
  <c r="L295" i="1"/>
  <c r="M295" i="1" s="1"/>
  <c r="L290" i="1"/>
  <c r="M290" i="1" s="1"/>
  <c r="L298" i="1"/>
  <c r="M298" i="1" s="1"/>
  <c r="L263" i="1"/>
  <c r="M263" i="1" s="1"/>
  <c r="L258" i="1"/>
  <c r="M258" i="1" s="1"/>
  <c r="L252" i="1"/>
  <c r="M252" i="1" s="1"/>
  <c r="L259" i="1"/>
  <c r="M259" i="1" s="1"/>
  <c r="L291" i="1"/>
  <c r="M291" i="1" s="1"/>
  <c r="L288" i="1"/>
  <c r="M288" i="1" s="1"/>
  <c r="L296" i="1"/>
  <c r="M296" i="1" s="1"/>
  <c r="L306" i="1"/>
  <c r="M306" i="1" s="1"/>
  <c r="L341" i="1"/>
  <c r="M341" i="1" s="1"/>
  <c r="L354" i="1"/>
  <c r="M354" i="1" s="1"/>
  <c r="L316" i="1"/>
  <c r="M316" i="1" s="1"/>
  <c r="L334" i="1"/>
  <c r="M334" i="1" s="1"/>
  <c r="L322" i="1"/>
  <c r="M322" i="1" s="1"/>
  <c r="L346" i="1"/>
  <c r="M346" i="1" s="1"/>
  <c r="L344" i="1"/>
  <c r="M344" i="1" s="1"/>
  <c r="L340" i="1"/>
  <c r="M340" i="1" s="1"/>
  <c r="L307" i="1"/>
  <c r="M307" i="1" s="1"/>
  <c r="L325" i="1"/>
  <c r="M325" i="1" s="1"/>
  <c r="L317" i="1"/>
  <c r="M317" i="1" s="1"/>
  <c r="L321" i="1"/>
  <c r="M321" i="1" s="1"/>
  <c r="L326" i="1"/>
  <c r="M326" i="1" s="1"/>
  <c r="L349" i="1"/>
  <c r="M349" i="1" s="1"/>
  <c r="L337" i="1"/>
  <c r="M337" i="1" s="1"/>
  <c r="L395" i="1"/>
  <c r="M395" i="1" s="1"/>
  <c r="L371" i="1"/>
  <c r="M371" i="1" s="1"/>
  <c r="L373" i="1"/>
  <c r="M373" i="1" s="1"/>
  <c r="L384" i="1"/>
  <c r="M384" i="1" s="1"/>
  <c r="L399" i="1"/>
  <c r="M399" i="1" s="1"/>
  <c r="L365" i="1"/>
  <c r="M365" i="1" s="1"/>
  <c r="L366" i="1"/>
  <c r="M366" i="1" s="1"/>
  <c r="L417" i="1"/>
  <c r="M417" i="1" s="1"/>
  <c r="L410" i="1"/>
  <c r="M410" i="1" s="1"/>
  <c r="L409" i="1"/>
  <c r="M409" i="1" s="1"/>
  <c r="L437" i="1"/>
  <c r="M437" i="1" s="1"/>
  <c r="L419" i="1"/>
  <c r="M419" i="1" s="1"/>
  <c r="L429" i="1"/>
  <c r="M429" i="1" s="1"/>
  <c r="L425" i="1"/>
  <c r="M425" i="1" s="1"/>
  <c r="L447" i="1"/>
  <c r="M447" i="1" s="1"/>
  <c r="L441" i="1"/>
  <c r="M441" i="1" s="1"/>
  <c r="L432" i="1"/>
  <c r="M432" i="1" s="1"/>
  <c r="L474" i="1"/>
  <c r="M474" i="1" s="1"/>
  <c r="L473" i="1"/>
  <c r="M473" i="1" s="1"/>
  <c r="L501" i="1"/>
  <c r="M501" i="1" s="1"/>
  <c r="L461" i="1"/>
  <c r="M461" i="1" s="1"/>
  <c r="L492" i="1"/>
  <c r="M492" i="1" s="1"/>
  <c r="L498" i="1"/>
  <c r="M498" i="1" s="1"/>
  <c r="L456" i="1"/>
  <c r="M456" i="1" s="1"/>
  <c r="L464" i="1"/>
  <c r="M464" i="1" s="1"/>
  <c r="L485" i="1"/>
  <c r="M485" i="1" s="1"/>
  <c r="L486" i="1"/>
  <c r="M486" i="1" s="1"/>
  <c r="L497" i="1"/>
  <c r="M497" i="1" s="1"/>
  <c r="L499" i="1"/>
  <c r="M499" i="1" s="1"/>
  <c r="L495" i="1"/>
  <c r="M495" i="1" s="1"/>
  <c r="L450" i="1"/>
  <c r="M450" i="1" s="1"/>
  <c r="H16" i="1"/>
  <c r="H26" i="1"/>
  <c r="H53" i="1"/>
  <c r="H41" i="1"/>
  <c r="H25" i="1"/>
  <c r="H11" i="1"/>
  <c r="H19" i="1"/>
  <c r="H43" i="1"/>
  <c r="H63" i="1"/>
  <c r="H37" i="1"/>
  <c r="H59" i="1"/>
  <c r="H44" i="1"/>
  <c r="H20" i="1"/>
  <c r="H61" i="1"/>
  <c r="H8" i="1"/>
  <c r="H3" i="1"/>
  <c r="H36" i="1"/>
  <c r="H2" i="1"/>
  <c r="H38" i="1"/>
  <c r="H13" i="1"/>
  <c r="H4" i="1"/>
  <c r="H62" i="1"/>
  <c r="H103" i="1"/>
  <c r="H77" i="1"/>
  <c r="H86" i="1"/>
  <c r="H69" i="1"/>
  <c r="H84" i="1"/>
  <c r="H104" i="1"/>
  <c r="H64" i="1"/>
  <c r="H79" i="1"/>
  <c r="H91" i="1"/>
  <c r="H89" i="1"/>
  <c r="H68" i="1"/>
  <c r="H71" i="1"/>
  <c r="H88" i="1"/>
  <c r="H93" i="1"/>
  <c r="H109" i="1"/>
  <c r="H95" i="1"/>
  <c r="H81" i="1"/>
  <c r="H110" i="1"/>
  <c r="H90" i="1"/>
  <c r="H108" i="1"/>
  <c r="H78" i="1"/>
  <c r="H116" i="1"/>
  <c r="H121" i="1"/>
  <c r="H122" i="1"/>
  <c r="H153" i="1"/>
  <c r="H156" i="1"/>
  <c r="H136" i="1"/>
  <c r="H125" i="1"/>
  <c r="H138" i="1"/>
  <c r="H133" i="1"/>
  <c r="H135" i="1"/>
  <c r="H148" i="1"/>
  <c r="H115" i="1"/>
  <c r="H141" i="1"/>
  <c r="H146" i="1"/>
  <c r="H152" i="1"/>
  <c r="H137" i="1"/>
  <c r="H159" i="1"/>
  <c r="H154" i="1"/>
  <c r="H127" i="1"/>
  <c r="H113" i="1"/>
  <c r="H149" i="1"/>
  <c r="H128" i="1"/>
  <c r="H119" i="1"/>
  <c r="H124" i="1"/>
  <c r="H155" i="1"/>
  <c r="H142" i="1"/>
  <c r="H192" i="1"/>
  <c r="H191" i="1"/>
  <c r="H187" i="1"/>
  <c r="H171" i="1"/>
  <c r="H196" i="1"/>
  <c r="H197" i="1"/>
  <c r="H160" i="1"/>
  <c r="H209" i="1"/>
  <c r="H161" i="1"/>
  <c r="H174" i="1"/>
  <c r="H166" i="1"/>
  <c r="H177" i="1"/>
  <c r="H207" i="1"/>
  <c r="H200" i="1"/>
  <c r="H203" i="1"/>
  <c r="H206" i="1"/>
  <c r="H208" i="1"/>
  <c r="H188" i="1"/>
  <c r="H181" i="1"/>
  <c r="H189" i="1"/>
  <c r="H190" i="1"/>
  <c r="H202" i="1"/>
  <c r="H182" i="1"/>
  <c r="H211" i="1"/>
  <c r="H243" i="1"/>
  <c r="H230" i="1"/>
  <c r="H233" i="1"/>
  <c r="H210" i="1"/>
  <c r="H214" i="1"/>
  <c r="H212" i="1"/>
  <c r="H232" i="1"/>
  <c r="H221" i="1"/>
  <c r="H236" i="1"/>
  <c r="H241" i="1"/>
  <c r="H245" i="1"/>
  <c r="H242" i="1"/>
  <c r="H218" i="1"/>
  <c r="H224" i="1"/>
  <c r="H239" i="1"/>
  <c r="H228" i="1"/>
  <c r="H227" i="1"/>
  <c r="H231" i="1"/>
  <c r="H216" i="1"/>
  <c r="H222" i="1"/>
  <c r="H281" i="1"/>
  <c r="H304" i="1"/>
  <c r="H254" i="1"/>
  <c r="H251" i="1"/>
  <c r="H283" i="1"/>
  <c r="H294" i="1"/>
  <c r="H302" i="1"/>
  <c r="H292" i="1"/>
  <c r="H293" i="1"/>
  <c r="H262" i="1"/>
  <c r="H267" i="1"/>
  <c r="H287" i="1"/>
  <c r="H303" i="1"/>
  <c r="H260" i="1"/>
  <c r="H305" i="1"/>
  <c r="H275" i="1"/>
  <c r="H297" i="1"/>
  <c r="H268" i="1"/>
  <c r="H256" i="1"/>
  <c r="H279" i="1"/>
  <c r="H300" i="1"/>
  <c r="H264" i="1"/>
  <c r="H274" i="1"/>
  <c r="H280" i="1"/>
  <c r="H330" i="1"/>
  <c r="H356" i="1"/>
  <c r="H345" i="1"/>
  <c r="H323" i="1"/>
  <c r="H331" i="1"/>
  <c r="H343" i="1"/>
  <c r="H342" i="1"/>
  <c r="H318" i="1"/>
  <c r="H338" i="1"/>
  <c r="H315" i="1"/>
  <c r="H319" i="1"/>
  <c r="H308" i="1"/>
  <c r="H309" i="1"/>
  <c r="H313" i="1"/>
  <c r="H336" i="1"/>
  <c r="H328" i="1"/>
  <c r="H335" i="1"/>
  <c r="H332" i="1"/>
  <c r="H355" i="1"/>
  <c r="H320" i="1"/>
  <c r="H329" i="1"/>
  <c r="H347" i="1"/>
  <c r="H333" i="1"/>
  <c r="H393" i="1"/>
  <c r="H385" i="1"/>
  <c r="H392" i="1"/>
  <c r="H381" i="1"/>
  <c r="H388" i="1"/>
  <c r="H390" i="1"/>
  <c r="H397" i="1"/>
  <c r="H402" i="1"/>
  <c r="H363" i="1"/>
  <c r="H358" i="1"/>
  <c r="H389" i="1"/>
  <c r="H401" i="1"/>
  <c r="H405" i="1"/>
  <c r="H379" i="1"/>
  <c r="H404" i="1"/>
  <c r="H361" i="1"/>
  <c r="H359" i="1"/>
  <c r="H369" i="1"/>
  <c r="H398" i="1"/>
  <c r="H370" i="1"/>
  <c r="H374" i="1"/>
  <c r="H377" i="1"/>
  <c r="H400" i="1"/>
  <c r="H376" i="1"/>
  <c r="H382" i="1"/>
  <c r="H423" i="1"/>
  <c r="H435" i="1"/>
  <c r="H446" i="1"/>
  <c r="H430" i="1"/>
  <c r="H445" i="1"/>
  <c r="H433" i="1"/>
  <c r="H424" i="1"/>
  <c r="H448" i="1"/>
  <c r="H414" i="1"/>
  <c r="H416" i="1"/>
  <c r="H418" i="1"/>
  <c r="H420" i="1"/>
  <c r="H427" i="1"/>
  <c r="H434" i="1"/>
  <c r="H431" i="1"/>
  <c r="H411" i="1"/>
  <c r="H444" i="1"/>
  <c r="H412" i="1"/>
  <c r="H415" i="1"/>
  <c r="H428" i="1"/>
  <c r="H439" i="1"/>
  <c r="H407" i="1"/>
  <c r="H442" i="1"/>
  <c r="H436" i="1"/>
  <c r="H408" i="1"/>
  <c r="H413" i="1"/>
  <c r="H488" i="1"/>
  <c r="H468" i="1"/>
  <c r="H462" i="1"/>
  <c r="H451" i="1"/>
  <c r="H466" i="1"/>
  <c r="H467" i="1"/>
  <c r="H487" i="1"/>
  <c r="H482" i="1"/>
  <c r="H457" i="1"/>
  <c r="H453" i="1"/>
  <c r="H454" i="1"/>
  <c r="H449" i="1"/>
  <c r="H459" i="1"/>
  <c r="H484" i="1"/>
  <c r="H476" i="1"/>
  <c r="H489" i="1"/>
  <c r="H463" i="1"/>
  <c r="H52" i="1"/>
  <c r="H28" i="1"/>
  <c r="H21" i="1"/>
  <c r="H60" i="1"/>
  <c r="H47" i="1"/>
  <c r="H49" i="1"/>
  <c r="H31" i="1"/>
  <c r="H17" i="1"/>
  <c r="H7" i="1"/>
  <c r="H12" i="1"/>
  <c r="H30" i="1"/>
  <c r="H34" i="1"/>
  <c r="H42" i="1"/>
  <c r="H14" i="1"/>
  <c r="H22" i="1"/>
  <c r="H55" i="1"/>
  <c r="H58" i="1"/>
  <c r="H33" i="1"/>
  <c r="H10" i="1"/>
  <c r="H50" i="1"/>
  <c r="H18" i="1"/>
  <c r="H32" i="1"/>
  <c r="H29" i="1"/>
  <c r="H39" i="1"/>
  <c r="H24" i="1"/>
  <c r="H57" i="1"/>
  <c r="H56" i="1"/>
  <c r="H5" i="1"/>
  <c r="H23" i="1"/>
  <c r="H9" i="1"/>
  <c r="H54" i="1"/>
  <c r="H35" i="1"/>
  <c r="H51" i="1"/>
  <c r="H27" i="1"/>
  <c r="H46" i="1"/>
  <c r="H105" i="1"/>
  <c r="H74" i="1"/>
  <c r="H85" i="1"/>
  <c r="H82" i="1"/>
  <c r="H65" i="1"/>
  <c r="H72" i="1"/>
  <c r="H67" i="1"/>
  <c r="H107" i="1"/>
  <c r="H66" i="1"/>
  <c r="H73" i="1"/>
  <c r="H96" i="1"/>
  <c r="H70" i="1"/>
  <c r="H94" i="1"/>
  <c r="H92" i="1"/>
  <c r="H102" i="1"/>
  <c r="H83" i="1"/>
  <c r="H106" i="1"/>
  <c r="H112" i="1"/>
  <c r="H87" i="1"/>
  <c r="H101" i="1"/>
  <c r="H97" i="1"/>
  <c r="H99" i="1"/>
  <c r="H80" i="1"/>
  <c r="H76" i="1"/>
  <c r="H111" i="1"/>
  <c r="H139" i="1"/>
  <c r="H150" i="1"/>
  <c r="H126" i="1"/>
  <c r="H143" i="1"/>
  <c r="H157" i="1"/>
  <c r="H118" i="1"/>
  <c r="H145" i="1"/>
  <c r="H117" i="1"/>
  <c r="H144" i="1"/>
  <c r="H132" i="1"/>
  <c r="H129" i="1"/>
  <c r="H147" i="1"/>
  <c r="H158" i="1"/>
  <c r="H151" i="1"/>
  <c r="H114" i="1"/>
  <c r="H131" i="1"/>
  <c r="H123" i="1"/>
  <c r="H130" i="1"/>
  <c r="H140" i="1"/>
  <c r="H204" i="1"/>
  <c r="H183" i="1"/>
  <c r="H185" i="1"/>
  <c r="H180" i="1"/>
  <c r="H198" i="1"/>
  <c r="H201" i="1"/>
  <c r="H167" i="1"/>
  <c r="H162" i="1"/>
  <c r="H165" i="1"/>
  <c r="H175" i="1"/>
  <c r="H168" i="1"/>
  <c r="H172" i="1"/>
  <c r="H186" i="1"/>
  <c r="H178" i="1"/>
  <c r="H184" i="1"/>
  <c r="H170" i="1"/>
  <c r="H195" i="1"/>
  <c r="H173" i="1"/>
  <c r="H205" i="1"/>
  <c r="H199" i="1"/>
  <c r="H163" i="1"/>
  <c r="H179" i="1"/>
  <c r="H169" i="1"/>
  <c r="H194" i="1"/>
  <c r="H246" i="1"/>
  <c r="H238" i="1"/>
  <c r="H240" i="1"/>
  <c r="H229" i="1"/>
  <c r="H234" i="1"/>
  <c r="H247" i="1"/>
  <c r="H215" i="1"/>
  <c r="H237" i="1"/>
  <c r="H220" i="1"/>
  <c r="H249" i="1"/>
  <c r="H226" i="1"/>
  <c r="H244" i="1"/>
  <c r="H225" i="1"/>
  <c r="H248" i="1"/>
  <c r="H213" i="1"/>
  <c r="H223" i="1"/>
  <c r="H217" i="1"/>
  <c r="H235" i="1"/>
  <c r="H250" i="1"/>
  <c r="H289" i="1"/>
  <c r="H266" i="1"/>
  <c r="H272" i="1"/>
  <c r="H271" i="1"/>
  <c r="H299" i="1"/>
  <c r="H261" i="1"/>
  <c r="H282" i="1"/>
  <c r="H273" i="1"/>
  <c r="H295" i="1"/>
  <c r="H290" i="1"/>
  <c r="H253" i="1"/>
  <c r="H284" i="1"/>
  <c r="H301" i="1"/>
  <c r="H276" i="1"/>
  <c r="H298" i="1"/>
  <c r="H263" i="1"/>
  <c r="H258" i="1"/>
  <c r="H270" i="1"/>
  <c r="H252" i="1"/>
  <c r="H259" i="1"/>
  <c r="H255" i="1"/>
  <c r="H291" i="1"/>
  <c r="H286" i="1"/>
  <c r="H288" i="1"/>
  <c r="H269" i="1"/>
  <c r="H257" i="1"/>
  <c r="H296" i="1"/>
  <c r="H285" i="1"/>
  <c r="H306" i="1"/>
  <c r="H265" i="1"/>
  <c r="H341" i="1"/>
  <c r="H354" i="1"/>
  <c r="H351" i="1"/>
  <c r="H324" i="1"/>
  <c r="H316" i="1"/>
  <c r="H339" i="1"/>
  <c r="H334" i="1"/>
  <c r="H322" i="1"/>
  <c r="H346" i="1"/>
  <c r="H344" i="1"/>
  <c r="H350" i="1"/>
  <c r="H340" i="1"/>
  <c r="H353" i="1"/>
  <c r="H352" i="1"/>
  <c r="H307" i="1"/>
  <c r="H348" i="1"/>
  <c r="H325" i="1"/>
  <c r="H317" i="1"/>
  <c r="H327" i="1"/>
  <c r="H314" i="1"/>
  <c r="H321" i="1"/>
  <c r="H326" i="1"/>
  <c r="H311" i="1"/>
  <c r="H349" i="1"/>
  <c r="H337" i="1"/>
  <c r="H395" i="1"/>
  <c r="H403" i="1"/>
  <c r="H371" i="1"/>
  <c r="H373" i="1"/>
  <c r="H384" i="1"/>
  <c r="H391" i="1"/>
  <c r="H386" i="1"/>
  <c r="H406" i="1"/>
  <c r="H367" i="1"/>
  <c r="H372" i="1"/>
  <c r="H399" i="1"/>
  <c r="H362" i="1"/>
  <c r="H357" i="1"/>
  <c r="H383" i="1"/>
  <c r="H364" i="1"/>
  <c r="H378" i="1"/>
  <c r="H365" i="1"/>
  <c r="H396" i="1"/>
  <c r="H368" i="1"/>
  <c r="H366" i="1"/>
  <c r="H380" i="1"/>
  <c r="H394" i="1"/>
  <c r="H417" i="1"/>
  <c r="H410" i="1"/>
  <c r="H409" i="1"/>
  <c r="H421" i="1"/>
  <c r="H437" i="1"/>
  <c r="H419" i="1"/>
  <c r="H422" i="1"/>
  <c r="H429" i="1"/>
  <c r="H425" i="1"/>
  <c r="H440" i="1"/>
  <c r="H447" i="1"/>
  <c r="H443" i="1"/>
  <c r="H441" i="1"/>
  <c r="H432" i="1"/>
  <c r="H474" i="1"/>
  <c r="H473" i="1"/>
  <c r="H472" i="1"/>
  <c r="H455" i="1"/>
  <c r="H470" i="1"/>
  <c r="H483" i="1"/>
  <c r="H478" i="1"/>
  <c r="H501" i="1"/>
  <c r="H481" i="1"/>
  <c r="H461" i="1"/>
  <c r="H500" i="1"/>
  <c r="H492" i="1"/>
  <c r="H458" i="1"/>
  <c r="H498" i="1"/>
  <c r="H456" i="1"/>
  <c r="H464" i="1"/>
  <c r="H465" i="1"/>
  <c r="H479" i="1"/>
  <c r="H480" i="1"/>
  <c r="H485" i="1"/>
  <c r="H491" i="1"/>
  <c r="H486" i="1"/>
  <c r="H475" i="1"/>
  <c r="H497" i="1"/>
  <c r="H477" i="1"/>
  <c r="H471" i="1"/>
  <c r="H494" i="1"/>
  <c r="H493" i="1"/>
  <c r="H499" i="1"/>
  <c r="H496" i="1"/>
  <c r="H460" i="1"/>
  <c r="H495" i="1"/>
  <c r="H450" i="1"/>
  <c r="H469" i="1"/>
  <c r="F16" i="1"/>
  <c r="F52" i="1"/>
  <c r="F28" i="1"/>
  <c r="F26" i="1"/>
  <c r="F21" i="1"/>
  <c r="F53" i="1"/>
  <c r="F60" i="1"/>
  <c r="F41" i="1"/>
  <c r="F47" i="1"/>
  <c r="F25" i="1"/>
  <c r="F11" i="1"/>
  <c r="F49" i="1"/>
  <c r="F31" i="1"/>
  <c r="F19" i="1"/>
  <c r="F17" i="1"/>
  <c r="F43" i="1"/>
  <c r="F7" i="1"/>
  <c r="F12" i="1"/>
  <c r="F63" i="1"/>
  <c r="F37" i="1"/>
  <c r="F30" i="1"/>
  <c r="F59" i="1"/>
  <c r="F34" i="1"/>
  <c r="F44" i="1"/>
  <c r="F20" i="1"/>
  <c r="F42" i="1"/>
  <c r="F61" i="1"/>
  <c r="F14" i="1"/>
  <c r="F22" i="1"/>
  <c r="F55" i="1"/>
  <c r="F8" i="1"/>
  <c r="F58" i="1"/>
  <c r="F3" i="1"/>
  <c r="F33" i="1"/>
  <c r="F10" i="1"/>
  <c r="F50" i="1"/>
  <c r="F18" i="1"/>
  <c r="F32" i="1"/>
  <c r="F29" i="1"/>
  <c r="F39" i="1"/>
  <c r="F24" i="1"/>
  <c r="F36" i="1"/>
  <c r="F57" i="1"/>
  <c r="F2" i="1"/>
  <c r="F38" i="1"/>
  <c r="F56" i="1"/>
  <c r="F5" i="1"/>
  <c r="F23" i="1"/>
  <c r="F9" i="1"/>
  <c r="F13" i="1"/>
  <c r="F54" i="1"/>
  <c r="F35" i="1"/>
  <c r="F51" i="1"/>
  <c r="F4" i="1"/>
  <c r="F27" i="1"/>
  <c r="F62" i="1"/>
  <c r="F46" i="1"/>
  <c r="F105" i="1"/>
  <c r="F103" i="1"/>
  <c r="F77" i="1"/>
  <c r="F74" i="1"/>
  <c r="F85" i="1"/>
  <c r="F86" i="1"/>
  <c r="F69" i="1"/>
  <c r="F82" i="1"/>
  <c r="F65" i="1"/>
  <c r="F72" i="1"/>
  <c r="F67" i="1"/>
  <c r="F107" i="1"/>
  <c r="F66" i="1"/>
  <c r="F84" i="1"/>
  <c r="F104" i="1"/>
  <c r="F64" i="1"/>
  <c r="F73" i="1"/>
  <c r="F96" i="1"/>
  <c r="F70" i="1"/>
  <c r="F94" i="1"/>
  <c r="F92" i="1"/>
  <c r="F79" i="1"/>
  <c r="F91" i="1"/>
  <c r="F89" i="1"/>
  <c r="F68" i="1"/>
  <c r="F71" i="1"/>
  <c r="F102" i="1"/>
  <c r="F83" i="1"/>
  <c r="F106" i="1"/>
  <c r="F112" i="1"/>
  <c r="F88" i="1"/>
  <c r="F87" i="1"/>
  <c r="F93" i="1"/>
  <c r="F109" i="1"/>
  <c r="F95" i="1"/>
  <c r="F101" i="1"/>
  <c r="F81" i="1"/>
  <c r="F97" i="1"/>
  <c r="F110" i="1"/>
  <c r="F99" i="1"/>
  <c r="F90" i="1"/>
  <c r="F80" i="1"/>
  <c r="F108" i="1"/>
  <c r="F78" i="1"/>
  <c r="F76" i="1"/>
  <c r="F111" i="1"/>
  <c r="F116" i="1"/>
  <c r="F139" i="1"/>
  <c r="F121" i="1"/>
  <c r="F122" i="1"/>
  <c r="F153" i="1"/>
  <c r="F150" i="1"/>
  <c r="F156" i="1"/>
  <c r="F136" i="1"/>
  <c r="F125" i="1"/>
  <c r="F138" i="1"/>
  <c r="F133" i="1"/>
  <c r="F126" i="1"/>
  <c r="F143" i="1"/>
  <c r="F157" i="1"/>
  <c r="F118" i="1"/>
  <c r="F135" i="1"/>
  <c r="F148" i="1"/>
  <c r="F145" i="1"/>
  <c r="F115" i="1"/>
  <c r="F141" i="1"/>
  <c r="F117" i="1"/>
  <c r="F146" i="1"/>
  <c r="F144" i="1"/>
  <c r="F152" i="1"/>
  <c r="F137" i="1"/>
  <c r="F159" i="1"/>
  <c r="F132" i="1"/>
  <c r="F154" i="1"/>
  <c r="F127" i="1"/>
  <c r="F113" i="1"/>
  <c r="F129" i="1"/>
  <c r="F149" i="1"/>
  <c r="F128" i="1"/>
  <c r="F147" i="1"/>
  <c r="F158" i="1"/>
  <c r="F151" i="1"/>
  <c r="F119" i="1"/>
  <c r="F114" i="1"/>
  <c r="F131" i="1"/>
  <c r="F124" i="1"/>
  <c r="F123" i="1"/>
  <c r="F155" i="1"/>
  <c r="F130" i="1"/>
  <c r="F140" i="1"/>
  <c r="F142" i="1"/>
  <c r="F204" i="1"/>
  <c r="F192" i="1"/>
  <c r="F191" i="1"/>
  <c r="F187" i="1"/>
  <c r="F183" i="1"/>
  <c r="F185" i="1"/>
  <c r="F180" i="1"/>
  <c r="F198" i="1"/>
  <c r="F171" i="1"/>
  <c r="F201" i="1"/>
  <c r="F167" i="1"/>
  <c r="F196" i="1"/>
  <c r="F197" i="1"/>
  <c r="F160" i="1"/>
  <c r="F162" i="1"/>
  <c r="F209" i="1"/>
  <c r="F165" i="1"/>
  <c r="F175" i="1"/>
  <c r="F161" i="1"/>
  <c r="F174" i="1"/>
  <c r="F168" i="1"/>
  <c r="F172" i="1"/>
  <c r="F186" i="1"/>
  <c r="F178" i="1"/>
  <c r="F184" i="1"/>
  <c r="F166" i="1"/>
  <c r="F177" i="1"/>
  <c r="F207" i="1"/>
  <c r="F170" i="1"/>
  <c r="F200" i="1"/>
  <c r="F203" i="1"/>
  <c r="F206" i="1"/>
  <c r="F195" i="1"/>
  <c r="F208" i="1"/>
  <c r="F173" i="1"/>
  <c r="F188" i="1"/>
  <c r="F181" i="1"/>
  <c r="F205" i="1"/>
  <c r="F199" i="1"/>
  <c r="F163" i="1"/>
  <c r="F189" i="1"/>
  <c r="F190" i="1"/>
  <c r="F202" i="1"/>
  <c r="F179" i="1"/>
  <c r="F169" i="1"/>
  <c r="F194" i="1"/>
  <c r="F182" i="1"/>
  <c r="F246" i="1"/>
  <c r="F238" i="1"/>
  <c r="F240" i="1"/>
  <c r="F211" i="1"/>
  <c r="F243" i="1"/>
  <c r="F229" i="1"/>
  <c r="F230" i="1"/>
  <c r="F234" i="1"/>
  <c r="F247" i="1"/>
  <c r="F215" i="1"/>
  <c r="F237" i="1"/>
  <c r="F220" i="1"/>
  <c r="F233" i="1"/>
  <c r="F210" i="1"/>
  <c r="F214" i="1"/>
  <c r="F212" i="1"/>
  <c r="F249" i="1"/>
  <c r="F226" i="1"/>
  <c r="F232" i="1"/>
  <c r="F221" i="1"/>
  <c r="F244" i="1"/>
  <c r="F225" i="1"/>
  <c r="F236" i="1"/>
  <c r="F248" i="1"/>
  <c r="F241" i="1"/>
  <c r="F245" i="1"/>
  <c r="F242" i="1"/>
  <c r="F218" i="1"/>
  <c r="F224" i="1"/>
  <c r="F239" i="1"/>
  <c r="F213" i="1"/>
  <c r="F223" i="1"/>
  <c r="F228" i="1"/>
  <c r="F217" i="1"/>
  <c r="F227" i="1"/>
  <c r="F235" i="1"/>
  <c r="F250" i="1"/>
  <c r="F231" i="1"/>
  <c r="F216" i="1"/>
  <c r="F222" i="1"/>
  <c r="F289" i="1"/>
  <c r="F281" i="1"/>
  <c r="F266" i="1"/>
  <c r="F272" i="1"/>
  <c r="F304" i="1"/>
  <c r="F271" i="1"/>
  <c r="F254" i="1"/>
  <c r="F251" i="1"/>
  <c r="F283" i="1"/>
  <c r="F299" i="1"/>
  <c r="F261" i="1"/>
  <c r="F294" i="1"/>
  <c r="F302" i="1"/>
  <c r="F292" i="1"/>
  <c r="F293" i="1"/>
  <c r="F262" i="1"/>
  <c r="F282" i="1"/>
  <c r="F273" i="1"/>
  <c r="F295" i="1"/>
  <c r="F290" i="1"/>
  <c r="F253" i="1"/>
  <c r="F267" i="1"/>
  <c r="F284" i="1"/>
  <c r="F301" i="1"/>
  <c r="F276" i="1"/>
  <c r="F287" i="1"/>
  <c r="F303" i="1"/>
  <c r="F260" i="1"/>
  <c r="F298" i="1"/>
  <c r="F263" i="1"/>
  <c r="F258" i="1"/>
  <c r="F270" i="1"/>
  <c r="F252" i="1"/>
  <c r="F259" i="1"/>
  <c r="F305" i="1"/>
  <c r="F275" i="1"/>
  <c r="F255" i="1"/>
  <c r="F291" i="1"/>
  <c r="F297" i="1"/>
  <c r="F286" i="1"/>
  <c r="F268" i="1"/>
  <c r="F288" i="1"/>
  <c r="F269" i="1"/>
  <c r="F257" i="1"/>
  <c r="F296" i="1"/>
  <c r="F256" i="1"/>
  <c r="F279" i="1"/>
  <c r="F285" i="1"/>
  <c r="F306" i="1"/>
  <c r="F265" i="1"/>
  <c r="F300" i="1"/>
  <c r="F264" i="1"/>
  <c r="F274" i="1"/>
  <c r="F280" i="1"/>
  <c r="F341" i="1"/>
  <c r="F354" i="1"/>
  <c r="F351" i="1"/>
  <c r="F324" i="1"/>
  <c r="F316" i="1"/>
  <c r="F339" i="1"/>
  <c r="F330" i="1"/>
  <c r="F356" i="1"/>
  <c r="F345" i="1"/>
  <c r="F334" i="1"/>
  <c r="F323" i="1"/>
  <c r="F331" i="1"/>
  <c r="F322" i="1"/>
  <c r="F346" i="1"/>
  <c r="F343" i="1"/>
  <c r="F342" i="1"/>
  <c r="F318" i="1"/>
  <c r="F338" i="1"/>
  <c r="F344" i="1"/>
  <c r="F350" i="1"/>
  <c r="F340" i="1"/>
  <c r="F315" i="1"/>
  <c r="F319" i="1"/>
  <c r="F308" i="1"/>
  <c r="F353" i="1"/>
  <c r="F352" i="1"/>
  <c r="F309" i="1"/>
  <c r="F307" i="1"/>
  <c r="F313" i="1"/>
  <c r="F336" i="1"/>
  <c r="F328" i="1"/>
  <c r="F348" i="1"/>
  <c r="F325" i="1"/>
  <c r="F317" i="1"/>
  <c r="F327" i="1"/>
  <c r="F335" i="1"/>
  <c r="F332" i="1"/>
  <c r="F314" i="1"/>
  <c r="F355" i="1"/>
  <c r="F321" i="1"/>
  <c r="F326" i="1"/>
  <c r="F320" i="1"/>
  <c r="F311" i="1"/>
  <c r="F329" i="1"/>
  <c r="F349" i="1"/>
  <c r="F347" i="1"/>
  <c r="F337" i="1"/>
  <c r="F333" i="1"/>
  <c r="F393" i="1"/>
  <c r="F395" i="1"/>
  <c r="F403" i="1"/>
  <c r="F371" i="1"/>
  <c r="F373" i="1"/>
  <c r="F385" i="1"/>
  <c r="F384" i="1"/>
  <c r="F392" i="1"/>
  <c r="F381" i="1"/>
  <c r="F391" i="1"/>
  <c r="F386" i="1"/>
  <c r="F388" i="1"/>
  <c r="F406" i="1"/>
  <c r="F367" i="1"/>
  <c r="F372" i="1"/>
  <c r="F390" i="1"/>
  <c r="F397" i="1"/>
  <c r="F402" i="1"/>
  <c r="F399" i="1"/>
  <c r="F363" i="1"/>
  <c r="F358" i="1"/>
  <c r="F389" i="1"/>
  <c r="F401" i="1"/>
  <c r="F362" i="1"/>
  <c r="F405" i="1"/>
  <c r="F357" i="1"/>
  <c r="F383" i="1"/>
  <c r="F379" i="1"/>
  <c r="F404" i="1"/>
  <c r="F364" i="1"/>
  <c r="F378" i="1"/>
  <c r="F365" i="1"/>
  <c r="F396" i="1"/>
  <c r="F361" i="1"/>
  <c r="F368" i="1"/>
  <c r="F359" i="1"/>
  <c r="F369" i="1"/>
  <c r="F398" i="1"/>
  <c r="F370" i="1"/>
  <c r="F374" i="1"/>
  <c r="F377" i="1"/>
  <c r="F400" i="1"/>
  <c r="F376" i="1"/>
  <c r="F366" i="1"/>
  <c r="F380" i="1"/>
  <c r="F394" i="1"/>
  <c r="F382" i="1"/>
  <c r="F423" i="1"/>
  <c r="F417" i="1"/>
  <c r="F410" i="1"/>
  <c r="F409" i="1"/>
  <c r="F435" i="1"/>
  <c r="F421" i="1"/>
  <c r="F446" i="1"/>
  <c r="F437" i="1"/>
  <c r="F419" i="1"/>
  <c r="F430" i="1"/>
  <c r="F422" i="1"/>
  <c r="F445" i="1"/>
  <c r="F433" i="1"/>
  <c r="F424" i="1"/>
  <c r="F448" i="1"/>
  <c r="F429" i="1"/>
  <c r="F414" i="1"/>
  <c r="F416" i="1"/>
  <c r="F418" i="1"/>
  <c r="F420" i="1"/>
  <c r="F427" i="1"/>
  <c r="F425" i="1"/>
  <c r="F434" i="1"/>
  <c r="F431" i="1"/>
  <c r="F440" i="1"/>
  <c r="F411" i="1"/>
  <c r="F444" i="1"/>
  <c r="F447" i="1"/>
  <c r="F443" i="1"/>
  <c r="F412" i="1"/>
  <c r="F415" i="1"/>
  <c r="F428" i="1"/>
  <c r="F439" i="1"/>
  <c r="F441" i="1"/>
  <c r="F407" i="1"/>
  <c r="F442" i="1"/>
  <c r="F432" i="1"/>
  <c r="F436" i="1"/>
  <c r="F408" i="1"/>
  <c r="F413" i="1"/>
  <c r="F474" i="1"/>
  <c r="F473" i="1"/>
  <c r="F488" i="1"/>
  <c r="F472" i="1"/>
  <c r="F455" i="1"/>
  <c r="F470" i="1"/>
  <c r="F468" i="1"/>
  <c r="F483" i="1"/>
  <c r="F462" i="1"/>
  <c r="F478" i="1"/>
  <c r="F501" i="1"/>
  <c r="F451" i="1"/>
  <c r="F481" i="1"/>
  <c r="F461" i="1"/>
  <c r="F466" i="1"/>
  <c r="F500" i="1"/>
  <c r="F467" i="1"/>
  <c r="F492" i="1"/>
  <c r="F487" i="1"/>
  <c r="F482" i="1"/>
  <c r="F458" i="1"/>
  <c r="F457" i="1"/>
  <c r="F453" i="1"/>
  <c r="F498" i="1"/>
  <c r="F454" i="1"/>
  <c r="F456" i="1"/>
  <c r="F449" i="1"/>
  <c r="F464" i="1"/>
  <c r="F465" i="1"/>
  <c r="F459" i="1"/>
  <c r="F479" i="1"/>
  <c r="F484" i="1"/>
  <c r="F480" i="1"/>
  <c r="F485" i="1"/>
  <c r="F476" i="1"/>
  <c r="F491" i="1"/>
  <c r="F486" i="1"/>
  <c r="F475" i="1"/>
  <c r="F497" i="1"/>
  <c r="F477" i="1"/>
  <c r="F471" i="1"/>
  <c r="F494" i="1"/>
  <c r="F493" i="1"/>
  <c r="F499" i="1"/>
  <c r="F496" i="1"/>
  <c r="F460" i="1"/>
  <c r="F495" i="1"/>
  <c r="F450" i="1"/>
  <c r="F489" i="1"/>
  <c r="F463" i="1"/>
  <c r="F469" i="1"/>
  <c r="E16" i="1"/>
  <c r="E52" i="1"/>
  <c r="E28" i="1"/>
  <c r="E26" i="1"/>
  <c r="E21" i="1"/>
  <c r="E53" i="1"/>
  <c r="E60" i="1"/>
  <c r="E41" i="1"/>
  <c r="E47" i="1"/>
  <c r="E25" i="1"/>
  <c r="E11" i="1"/>
  <c r="E49" i="1"/>
  <c r="E31" i="1"/>
  <c r="E19" i="1"/>
  <c r="E17" i="1"/>
  <c r="E43" i="1"/>
  <c r="E7" i="1"/>
  <c r="E12" i="1"/>
  <c r="E63" i="1"/>
  <c r="E37" i="1"/>
  <c r="E30" i="1"/>
  <c r="E59" i="1"/>
  <c r="E34" i="1"/>
  <c r="E44" i="1"/>
  <c r="E20" i="1"/>
  <c r="E42" i="1"/>
  <c r="E61" i="1"/>
  <c r="E14" i="1"/>
  <c r="E22" i="1"/>
  <c r="E55" i="1"/>
  <c r="E8" i="1"/>
  <c r="E58" i="1"/>
  <c r="E3" i="1"/>
  <c r="E33" i="1"/>
  <c r="E10" i="1"/>
  <c r="E50" i="1"/>
  <c r="E18" i="1"/>
  <c r="E32" i="1"/>
  <c r="E29" i="1"/>
  <c r="E39" i="1"/>
  <c r="E24" i="1"/>
  <c r="E36" i="1"/>
  <c r="E57" i="1"/>
  <c r="E2" i="1"/>
  <c r="E38" i="1"/>
  <c r="E56" i="1"/>
  <c r="E5" i="1"/>
  <c r="E23" i="1"/>
  <c r="E9" i="1"/>
  <c r="E13" i="1"/>
  <c r="E54" i="1"/>
  <c r="E35" i="1"/>
  <c r="E51" i="1"/>
  <c r="E4" i="1"/>
  <c r="E27" i="1"/>
  <c r="E62" i="1"/>
  <c r="E46" i="1"/>
  <c r="E105" i="1"/>
  <c r="E103" i="1"/>
  <c r="E77" i="1"/>
  <c r="E74" i="1"/>
  <c r="E85" i="1"/>
  <c r="E86" i="1"/>
  <c r="E69" i="1"/>
  <c r="E82" i="1"/>
  <c r="E65" i="1"/>
  <c r="E72" i="1"/>
  <c r="E67" i="1"/>
  <c r="E107" i="1"/>
  <c r="E66" i="1"/>
  <c r="E84" i="1"/>
  <c r="E104" i="1"/>
  <c r="E64" i="1"/>
  <c r="E73" i="1"/>
  <c r="E96" i="1"/>
  <c r="E70" i="1"/>
  <c r="E94" i="1"/>
  <c r="E92" i="1"/>
  <c r="E79" i="1"/>
  <c r="E91" i="1"/>
  <c r="E89" i="1"/>
  <c r="E68" i="1"/>
  <c r="E71" i="1"/>
  <c r="E102" i="1"/>
  <c r="E83" i="1"/>
  <c r="E106" i="1"/>
  <c r="E112" i="1"/>
  <c r="E88" i="1"/>
  <c r="E87" i="1"/>
  <c r="E93" i="1"/>
  <c r="E109" i="1"/>
  <c r="E95" i="1"/>
  <c r="E101" i="1"/>
  <c r="E81" i="1"/>
  <c r="E97" i="1"/>
  <c r="E110" i="1"/>
  <c r="E99" i="1"/>
  <c r="E90" i="1"/>
  <c r="E80" i="1"/>
  <c r="E108" i="1"/>
  <c r="E78" i="1"/>
  <c r="E76" i="1"/>
  <c r="E111" i="1"/>
  <c r="E116" i="1"/>
  <c r="E139" i="1"/>
  <c r="E121" i="1"/>
  <c r="E122" i="1"/>
  <c r="E153" i="1"/>
  <c r="E150" i="1"/>
  <c r="E156" i="1"/>
  <c r="E136" i="1"/>
  <c r="E125" i="1"/>
  <c r="E138" i="1"/>
  <c r="E133" i="1"/>
  <c r="E126" i="1"/>
  <c r="E143" i="1"/>
  <c r="E157" i="1"/>
  <c r="E118" i="1"/>
  <c r="E135" i="1"/>
  <c r="E148" i="1"/>
  <c r="E145" i="1"/>
  <c r="E115" i="1"/>
  <c r="E141" i="1"/>
  <c r="E117" i="1"/>
  <c r="E146" i="1"/>
  <c r="E144" i="1"/>
  <c r="E152" i="1"/>
  <c r="E137" i="1"/>
  <c r="E159" i="1"/>
  <c r="E132" i="1"/>
  <c r="E154" i="1"/>
  <c r="E127" i="1"/>
  <c r="E113" i="1"/>
  <c r="E129" i="1"/>
  <c r="E149" i="1"/>
  <c r="E128" i="1"/>
  <c r="E147" i="1"/>
  <c r="E158" i="1"/>
  <c r="E151" i="1"/>
  <c r="E119" i="1"/>
  <c r="E114" i="1"/>
  <c r="E131" i="1"/>
  <c r="E124" i="1"/>
  <c r="E123" i="1"/>
  <c r="E155" i="1"/>
  <c r="E130" i="1"/>
  <c r="E140" i="1"/>
  <c r="E142" i="1"/>
  <c r="E204" i="1"/>
  <c r="E192" i="1"/>
  <c r="E191" i="1"/>
  <c r="E187" i="1"/>
  <c r="E183" i="1"/>
  <c r="E185" i="1"/>
  <c r="E180" i="1"/>
  <c r="E198" i="1"/>
  <c r="E171" i="1"/>
  <c r="E201" i="1"/>
  <c r="E167" i="1"/>
  <c r="E196" i="1"/>
  <c r="E197" i="1"/>
  <c r="E160" i="1"/>
  <c r="E162" i="1"/>
  <c r="E209" i="1"/>
  <c r="E165" i="1"/>
  <c r="E175" i="1"/>
  <c r="E161" i="1"/>
  <c r="E174" i="1"/>
  <c r="E168" i="1"/>
  <c r="E172" i="1"/>
  <c r="E186" i="1"/>
  <c r="E178" i="1"/>
  <c r="E184" i="1"/>
  <c r="E166" i="1"/>
  <c r="E177" i="1"/>
  <c r="E207" i="1"/>
  <c r="E170" i="1"/>
  <c r="E200" i="1"/>
  <c r="E203" i="1"/>
  <c r="E206" i="1"/>
  <c r="E195" i="1"/>
  <c r="E208" i="1"/>
  <c r="E173" i="1"/>
  <c r="E188" i="1"/>
  <c r="E181" i="1"/>
  <c r="E205" i="1"/>
  <c r="E199" i="1"/>
  <c r="E163" i="1"/>
  <c r="E189" i="1"/>
  <c r="E190" i="1"/>
  <c r="E202" i="1"/>
  <c r="E179" i="1"/>
  <c r="E169" i="1"/>
  <c r="E194" i="1"/>
  <c r="E182" i="1"/>
  <c r="E246" i="1"/>
  <c r="E238" i="1"/>
  <c r="E240" i="1"/>
  <c r="E211" i="1"/>
  <c r="E243" i="1"/>
  <c r="E229" i="1"/>
  <c r="E230" i="1"/>
  <c r="E234" i="1"/>
  <c r="E247" i="1"/>
  <c r="E215" i="1"/>
  <c r="E237" i="1"/>
  <c r="E220" i="1"/>
  <c r="E233" i="1"/>
  <c r="E210" i="1"/>
  <c r="E214" i="1"/>
  <c r="E212" i="1"/>
  <c r="E249" i="1"/>
  <c r="E226" i="1"/>
  <c r="E232" i="1"/>
  <c r="E221" i="1"/>
  <c r="E244" i="1"/>
  <c r="E225" i="1"/>
  <c r="E236" i="1"/>
  <c r="E248" i="1"/>
  <c r="E241" i="1"/>
  <c r="E245" i="1"/>
  <c r="E242" i="1"/>
  <c r="E218" i="1"/>
  <c r="E224" i="1"/>
  <c r="E239" i="1"/>
  <c r="E213" i="1"/>
  <c r="E223" i="1"/>
  <c r="E228" i="1"/>
  <c r="E217" i="1"/>
  <c r="E227" i="1"/>
  <c r="E235" i="1"/>
  <c r="E250" i="1"/>
  <c r="E231" i="1"/>
  <c r="E216" i="1"/>
  <c r="E222" i="1"/>
  <c r="E289" i="1"/>
  <c r="E281" i="1"/>
  <c r="E266" i="1"/>
  <c r="E272" i="1"/>
  <c r="E304" i="1"/>
  <c r="E271" i="1"/>
  <c r="E254" i="1"/>
  <c r="E251" i="1"/>
  <c r="E283" i="1"/>
  <c r="E299" i="1"/>
  <c r="E261" i="1"/>
  <c r="E294" i="1"/>
  <c r="E302" i="1"/>
  <c r="E292" i="1"/>
  <c r="E293" i="1"/>
  <c r="E262" i="1"/>
  <c r="E282" i="1"/>
  <c r="E273" i="1"/>
  <c r="E295" i="1"/>
  <c r="E290" i="1"/>
  <c r="E253" i="1"/>
  <c r="E267" i="1"/>
  <c r="E284" i="1"/>
  <c r="E301" i="1"/>
  <c r="E276" i="1"/>
  <c r="E287" i="1"/>
  <c r="E303" i="1"/>
  <c r="E260" i="1"/>
  <c r="E298" i="1"/>
  <c r="E263" i="1"/>
  <c r="E258" i="1"/>
  <c r="E270" i="1"/>
  <c r="E252" i="1"/>
  <c r="E259" i="1"/>
  <c r="E305" i="1"/>
  <c r="E275" i="1"/>
  <c r="E255" i="1"/>
  <c r="E291" i="1"/>
  <c r="E297" i="1"/>
  <c r="E286" i="1"/>
  <c r="E268" i="1"/>
  <c r="E288" i="1"/>
  <c r="E269" i="1"/>
  <c r="E257" i="1"/>
  <c r="E296" i="1"/>
  <c r="E256" i="1"/>
  <c r="E279" i="1"/>
  <c r="E285" i="1"/>
  <c r="E306" i="1"/>
  <c r="E265" i="1"/>
  <c r="E300" i="1"/>
  <c r="E264" i="1"/>
  <c r="E274" i="1"/>
  <c r="E280" i="1"/>
  <c r="E341" i="1"/>
  <c r="E354" i="1"/>
  <c r="E351" i="1"/>
  <c r="E324" i="1"/>
  <c r="E316" i="1"/>
  <c r="E339" i="1"/>
  <c r="E330" i="1"/>
  <c r="E356" i="1"/>
  <c r="E345" i="1"/>
  <c r="E334" i="1"/>
  <c r="E323" i="1"/>
  <c r="E331" i="1"/>
  <c r="E322" i="1"/>
  <c r="E346" i="1"/>
  <c r="E343" i="1"/>
  <c r="E342" i="1"/>
  <c r="E318" i="1"/>
  <c r="E338" i="1"/>
  <c r="E344" i="1"/>
  <c r="E350" i="1"/>
  <c r="E340" i="1"/>
  <c r="E315" i="1"/>
  <c r="E319" i="1"/>
  <c r="E308" i="1"/>
  <c r="E353" i="1"/>
  <c r="E352" i="1"/>
  <c r="E309" i="1"/>
  <c r="E307" i="1"/>
  <c r="E313" i="1"/>
  <c r="E336" i="1"/>
  <c r="E328" i="1"/>
  <c r="E348" i="1"/>
  <c r="E325" i="1"/>
  <c r="E317" i="1"/>
  <c r="E327" i="1"/>
  <c r="E335" i="1"/>
  <c r="E332" i="1"/>
  <c r="E314" i="1"/>
  <c r="E355" i="1"/>
  <c r="E321" i="1"/>
  <c r="E326" i="1"/>
  <c r="E320" i="1"/>
  <c r="E311" i="1"/>
  <c r="E329" i="1"/>
  <c r="E349" i="1"/>
  <c r="E347" i="1"/>
  <c r="E337" i="1"/>
  <c r="E333" i="1"/>
  <c r="E393" i="1"/>
  <c r="E395" i="1"/>
  <c r="E403" i="1"/>
  <c r="E371" i="1"/>
  <c r="E373" i="1"/>
  <c r="E385" i="1"/>
  <c r="E384" i="1"/>
  <c r="E392" i="1"/>
  <c r="E381" i="1"/>
  <c r="E391" i="1"/>
  <c r="E386" i="1"/>
  <c r="E388" i="1"/>
  <c r="E406" i="1"/>
  <c r="E367" i="1"/>
  <c r="E372" i="1"/>
  <c r="E390" i="1"/>
  <c r="E397" i="1"/>
  <c r="E402" i="1"/>
  <c r="E399" i="1"/>
  <c r="E363" i="1"/>
  <c r="E358" i="1"/>
  <c r="E389" i="1"/>
  <c r="E401" i="1"/>
  <c r="E362" i="1"/>
  <c r="E405" i="1"/>
  <c r="E357" i="1"/>
  <c r="E383" i="1"/>
  <c r="E379" i="1"/>
  <c r="E404" i="1"/>
  <c r="E364" i="1"/>
  <c r="E378" i="1"/>
  <c r="E365" i="1"/>
  <c r="E396" i="1"/>
  <c r="E361" i="1"/>
  <c r="E368" i="1"/>
  <c r="E359" i="1"/>
  <c r="E369" i="1"/>
  <c r="E398" i="1"/>
  <c r="E370" i="1"/>
  <c r="E374" i="1"/>
  <c r="E377" i="1"/>
  <c r="E400" i="1"/>
  <c r="E376" i="1"/>
  <c r="E366" i="1"/>
  <c r="E380" i="1"/>
  <c r="E394" i="1"/>
  <c r="E382" i="1"/>
  <c r="E423" i="1"/>
  <c r="E417" i="1"/>
  <c r="E410" i="1"/>
  <c r="E409" i="1"/>
  <c r="E435" i="1"/>
  <c r="E421" i="1"/>
  <c r="E446" i="1"/>
  <c r="E437" i="1"/>
  <c r="E419" i="1"/>
  <c r="E430" i="1"/>
  <c r="E422" i="1"/>
  <c r="E445" i="1"/>
  <c r="E433" i="1"/>
  <c r="E424" i="1"/>
  <c r="E448" i="1"/>
  <c r="E429" i="1"/>
  <c r="E414" i="1"/>
  <c r="E416" i="1"/>
  <c r="E418" i="1"/>
  <c r="E420" i="1"/>
  <c r="E427" i="1"/>
  <c r="E425" i="1"/>
  <c r="E434" i="1"/>
  <c r="E431" i="1"/>
  <c r="E440" i="1"/>
  <c r="E411" i="1"/>
  <c r="E444" i="1"/>
  <c r="E447" i="1"/>
  <c r="E443" i="1"/>
  <c r="E412" i="1"/>
  <c r="E415" i="1"/>
  <c r="E428" i="1"/>
  <c r="E439" i="1"/>
  <c r="E441" i="1"/>
  <c r="E407" i="1"/>
  <c r="E442" i="1"/>
  <c r="E432" i="1"/>
  <c r="E436" i="1"/>
  <c r="E408" i="1"/>
  <c r="E413" i="1"/>
  <c r="E474" i="1"/>
  <c r="E473" i="1"/>
  <c r="E488" i="1"/>
  <c r="E472" i="1"/>
  <c r="E455" i="1"/>
  <c r="E470" i="1"/>
  <c r="E468" i="1"/>
  <c r="E483" i="1"/>
  <c r="E462" i="1"/>
  <c r="E478" i="1"/>
  <c r="E501" i="1"/>
  <c r="E451" i="1"/>
  <c r="E481" i="1"/>
  <c r="E461" i="1"/>
  <c r="E466" i="1"/>
  <c r="E500" i="1"/>
  <c r="E467" i="1"/>
  <c r="E492" i="1"/>
  <c r="E487" i="1"/>
  <c r="E482" i="1"/>
  <c r="E458" i="1"/>
  <c r="E457" i="1"/>
  <c r="E453" i="1"/>
  <c r="E498" i="1"/>
  <c r="E454" i="1"/>
  <c r="E456" i="1"/>
  <c r="E449" i="1"/>
  <c r="E464" i="1"/>
  <c r="E465" i="1"/>
  <c r="E459" i="1"/>
  <c r="E479" i="1"/>
  <c r="E484" i="1"/>
  <c r="E480" i="1"/>
  <c r="E485" i="1"/>
  <c r="E476" i="1"/>
  <c r="E491" i="1"/>
  <c r="E486" i="1"/>
  <c r="E475" i="1"/>
  <c r="E497" i="1"/>
  <c r="E477" i="1"/>
  <c r="E471" i="1"/>
  <c r="E494" i="1"/>
  <c r="E493" i="1"/>
  <c r="E499" i="1"/>
  <c r="E496" i="1"/>
  <c r="E460" i="1"/>
  <c r="E495" i="1"/>
  <c r="E450" i="1"/>
  <c r="E489" i="1"/>
  <c r="E463" i="1"/>
  <c r="E469" i="1"/>
  <c r="B16" i="1"/>
  <c r="B52" i="1"/>
  <c r="B28" i="1"/>
  <c r="B26" i="1"/>
  <c r="B21" i="1"/>
  <c r="B53" i="1"/>
  <c r="B60" i="1"/>
  <c r="B41" i="1"/>
  <c r="B47" i="1"/>
  <c r="B25" i="1"/>
  <c r="B11" i="1"/>
  <c r="B49" i="1"/>
  <c r="B31" i="1"/>
  <c r="B19" i="1"/>
  <c r="B17" i="1"/>
  <c r="B43" i="1"/>
  <c r="B7" i="1"/>
  <c r="B12" i="1"/>
  <c r="B63" i="1"/>
  <c r="B37" i="1"/>
  <c r="B30" i="1"/>
  <c r="B59" i="1"/>
  <c r="B34" i="1"/>
  <c r="B44" i="1"/>
  <c r="B20" i="1"/>
  <c r="B42" i="1"/>
  <c r="B61" i="1"/>
  <c r="B14" i="1"/>
  <c r="B22" i="1"/>
  <c r="B55" i="1"/>
  <c r="B8" i="1"/>
  <c r="B58" i="1"/>
  <c r="B3" i="1"/>
  <c r="B33" i="1"/>
  <c r="B10" i="1"/>
  <c r="B50" i="1"/>
  <c r="B18" i="1"/>
  <c r="B32" i="1"/>
  <c r="B29" i="1"/>
  <c r="B39" i="1"/>
  <c r="B24" i="1"/>
  <c r="B36" i="1"/>
  <c r="B57" i="1"/>
  <c r="B2" i="1"/>
  <c r="B38" i="1"/>
  <c r="B56" i="1"/>
  <c r="B5" i="1"/>
  <c r="B23" i="1"/>
  <c r="B9" i="1"/>
  <c r="B13" i="1"/>
  <c r="B54" i="1"/>
  <c r="B35" i="1"/>
  <c r="B51" i="1"/>
  <c r="B4" i="1"/>
  <c r="B27" i="1"/>
  <c r="B62" i="1"/>
  <c r="B46" i="1"/>
  <c r="B105" i="1"/>
  <c r="B103" i="1"/>
  <c r="B77" i="1"/>
  <c r="B74" i="1"/>
  <c r="B85" i="1"/>
  <c r="B86" i="1"/>
  <c r="B69" i="1"/>
  <c r="B82" i="1"/>
  <c r="B65" i="1"/>
  <c r="B72" i="1"/>
  <c r="B67" i="1"/>
  <c r="B107" i="1"/>
  <c r="B66" i="1"/>
  <c r="B84" i="1"/>
  <c r="B104" i="1"/>
  <c r="B64" i="1"/>
  <c r="B73" i="1"/>
  <c r="B96" i="1"/>
  <c r="B70" i="1"/>
  <c r="B94" i="1"/>
  <c r="B92" i="1"/>
  <c r="B79" i="1"/>
  <c r="B91" i="1"/>
  <c r="B89" i="1"/>
  <c r="B68" i="1"/>
  <c r="B71" i="1"/>
  <c r="B102" i="1"/>
  <c r="B83" i="1"/>
  <c r="B106" i="1"/>
  <c r="B112" i="1"/>
  <c r="B88" i="1"/>
  <c r="B87" i="1"/>
  <c r="B93" i="1"/>
  <c r="B109" i="1"/>
  <c r="B95" i="1"/>
  <c r="B101" i="1"/>
  <c r="B81" i="1"/>
  <c r="B97" i="1"/>
  <c r="B110" i="1"/>
  <c r="B99" i="1"/>
  <c r="B90" i="1"/>
  <c r="B80" i="1"/>
  <c r="B108" i="1"/>
  <c r="B78" i="1"/>
  <c r="B76" i="1"/>
  <c r="B111" i="1"/>
  <c r="B116" i="1"/>
  <c r="B139" i="1"/>
  <c r="B121" i="1"/>
  <c r="B122" i="1"/>
  <c r="B153" i="1"/>
  <c r="B150" i="1"/>
  <c r="B156" i="1"/>
  <c r="B136" i="1"/>
  <c r="B125" i="1"/>
  <c r="B138" i="1"/>
  <c r="B133" i="1"/>
  <c r="B126" i="1"/>
  <c r="B143" i="1"/>
  <c r="B157" i="1"/>
  <c r="B118" i="1"/>
  <c r="B135" i="1"/>
  <c r="B148" i="1"/>
  <c r="B145" i="1"/>
  <c r="B115" i="1"/>
  <c r="B141" i="1"/>
  <c r="B117" i="1"/>
  <c r="B146" i="1"/>
  <c r="B144" i="1"/>
  <c r="B152" i="1"/>
  <c r="B137" i="1"/>
  <c r="B159" i="1"/>
  <c r="B132" i="1"/>
  <c r="B154" i="1"/>
  <c r="B127" i="1"/>
  <c r="B113" i="1"/>
  <c r="B129" i="1"/>
  <c r="B149" i="1"/>
  <c r="B128" i="1"/>
  <c r="B147" i="1"/>
  <c r="B158" i="1"/>
  <c r="B151" i="1"/>
  <c r="B119" i="1"/>
  <c r="B114" i="1"/>
  <c r="B131" i="1"/>
  <c r="B124" i="1"/>
  <c r="B123" i="1"/>
  <c r="B155" i="1"/>
  <c r="B130" i="1"/>
  <c r="B140" i="1"/>
  <c r="B142" i="1"/>
  <c r="B204" i="1"/>
  <c r="B192" i="1"/>
  <c r="B191" i="1"/>
  <c r="B187" i="1"/>
  <c r="B183" i="1"/>
  <c r="B185" i="1"/>
  <c r="B180" i="1"/>
  <c r="B198" i="1"/>
  <c r="B171" i="1"/>
  <c r="B201" i="1"/>
  <c r="B167" i="1"/>
  <c r="B196" i="1"/>
  <c r="B197" i="1"/>
  <c r="B160" i="1"/>
  <c r="B162" i="1"/>
  <c r="B209" i="1"/>
  <c r="B165" i="1"/>
  <c r="B175" i="1"/>
  <c r="B161" i="1"/>
  <c r="B174" i="1"/>
  <c r="B168" i="1"/>
  <c r="B172" i="1"/>
  <c r="B186" i="1"/>
  <c r="B178" i="1"/>
  <c r="B184" i="1"/>
  <c r="B166" i="1"/>
  <c r="B177" i="1"/>
  <c r="B207" i="1"/>
  <c r="B170" i="1"/>
  <c r="B200" i="1"/>
  <c r="B203" i="1"/>
  <c r="B206" i="1"/>
  <c r="B195" i="1"/>
  <c r="B208" i="1"/>
  <c r="B173" i="1"/>
  <c r="B188" i="1"/>
  <c r="B181" i="1"/>
  <c r="B205" i="1"/>
  <c r="B199" i="1"/>
  <c r="B163" i="1"/>
  <c r="B189" i="1"/>
  <c r="B190" i="1"/>
  <c r="B202" i="1"/>
  <c r="B179" i="1"/>
  <c r="B169" i="1"/>
  <c r="B194" i="1"/>
  <c r="B182" i="1"/>
  <c r="B246" i="1"/>
  <c r="B238" i="1"/>
  <c r="B240" i="1"/>
  <c r="B211" i="1"/>
  <c r="B243" i="1"/>
  <c r="B229" i="1"/>
  <c r="B230" i="1"/>
  <c r="B234" i="1"/>
  <c r="B247" i="1"/>
  <c r="B215" i="1"/>
  <c r="B237" i="1"/>
  <c r="B220" i="1"/>
  <c r="B233" i="1"/>
  <c r="B210" i="1"/>
  <c r="B214" i="1"/>
  <c r="B212" i="1"/>
  <c r="B249" i="1"/>
  <c r="B226" i="1"/>
  <c r="B232" i="1"/>
  <c r="B221" i="1"/>
  <c r="B244" i="1"/>
  <c r="B225" i="1"/>
  <c r="B236" i="1"/>
  <c r="B248" i="1"/>
  <c r="B241" i="1"/>
  <c r="B245" i="1"/>
  <c r="B242" i="1"/>
  <c r="B218" i="1"/>
  <c r="B224" i="1"/>
  <c r="B239" i="1"/>
  <c r="B213" i="1"/>
  <c r="B223" i="1"/>
  <c r="B228" i="1"/>
  <c r="B217" i="1"/>
  <c r="B227" i="1"/>
  <c r="B235" i="1"/>
  <c r="B250" i="1"/>
  <c r="B231" i="1"/>
  <c r="B216" i="1"/>
  <c r="B222" i="1"/>
  <c r="B289" i="1"/>
  <c r="B281" i="1"/>
  <c r="B266" i="1"/>
  <c r="B272" i="1"/>
  <c r="B304" i="1"/>
  <c r="B271" i="1"/>
  <c r="B254" i="1"/>
  <c r="B251" i="1"/>
  <c r="B283" i="1"/>
  <c r="B299" i="1"/>
  <c r="B261" i="1"/>
  <c r="B294" i="1"/>
  <c r="B302" i="1"/>
  <c r="B292" i="1"/>
  <c r="B293" i="1"/>
  <c r="B262" i="1"/>
  <c r="B282" i="1"/>
  <c r="B273" i="1"/>
  <c r="B295" i="1"/>
  <c r="B290" i="1"/>
  <c r="B253" i="1"/>
  <c r="B267" i="1"/>
  <c r="B284" i="1"/>
  <c r="B301" i="1"/>
  <c r="B276" i="1"/>
  <c r="B287" i="1"/>
  <c r="B303" i="1"/>
  <c r="B260" i="1"/>
  <c r="B298" i="1"/>
  <c r="B263" i="1"/>
  <c r="B258" i="1"/>
  <c r="B270" i="1"/>
  <c r="B252" i="1"/>
  <c r="B259" i="1"/>
  <c r="B305" i="1"/>
  <c r="B275" i="1"/>
  <c r="B255" i="1"/>
  <c r="B291" i="1"/>
  <c r="B297" i="1"/>
  <c r="B286" i="1"/>
  <c r="B268" i="1"/>
  <c r="B288" i="1"/>
  <c r="B269" i="1"/>
  <c r="B257" i="1"/>
  <c r="B296" i="1"/>
  <c r="B256" i="1"/>
  <c r="B279" i="1"/>
  <c r="B285" i="1"/>
  <c r="B306" i="1"/>
  <c r="B265" i="1"/>
  <c r="B300" i="1"/>
  <c r="B264" i="1"/>
  <c r="B274" i="1"/>
  <c r="B280" i="1"/>
  <c r="B341" i="1"/>
  <c r="B354" i="1"/>
  <c r="B351" i="1"/>
  <c r="B324" i="1"/>
  <c r="B316" i="1"/>
  <c r="B339" i="1"/>
  <c r="B330" i="1"/>
  <c r="B356" i="1"/>
  <c r="B345" i="1"/>
  <c r="B334" i="1"/>
  <c r="B323" i="1"/>
  <c r="B331" i="1"/>
  <c r="B322" i="1"/>
  <c r="B346" i="1"/>
  <c r="B343" i="1"/>
  <c r="B342" i="1"/>
  <c r="B318" i="1"/>
  <c r="B338" i="1"/>
  <c r="B344" i="1"/>
  <c r="B350" i="1"/>
  <c r="B340" i="1"/>
  <c r="B315" i="1"/>
  <c r="B319" i="1"/>
  <c r="B308" i="1"/>
  <c r="B353" i="1"/>
  <c r="B352" i="1"/>
  <c r="B309" i="1"/>
  <c r="B307" i="1"/>
  <c r="B313" i="1"/>
  <c r="B336" i="1"/>
  <c r="B328" i="1"/>
  <c r="B348" i="1"/>
  <c r="B325" i="1"/>
  <c r="B317" i="1"/>
  <c r="B327" i="1"/>
  <c r="B335" i="1"/>
  <c r="B332" i="1"/>
  <c r="B314" i="1"/>
  <c r="B355" i="1"/>
  <c r="B321" i="1"/>
  <c r="B326" i="1"/>
  <c r="B320" i="1"/>
  <c r="B311" i="1"/>
  <c r="B329" i="1"/>
  <c r="B349" i="1"/>
  <c r="B347" i="1"/>
  <c r="B337" i="1"/>
  <c r="B333" i="1"/>
  <c r="B393" i="1"/>
  <c r="B395" i="1"/>
  <c r="B403" i="1"/>
  <c r="B371" i="1"/>
  <c r="B373" i="1"/>
  <c r="B385" i="1"/>
  <c r="B384" i="1"/>
  <c r="B392" i="1"/>
  <c r="B381" i="1"/>
  <c r="B391" i="1"/>
  <c r="B386" i="1"/>
  <c r="B388" i="1"/>
  <c r="B406" i="1"/>
  <c r="B367" i="1"/>
  <c r="B372" i="1"/>
  <c r="B390" i="1"/>
  <c r="B397" i="1"/>
  <c r="B402" i="1"/>
  <c r="B399" i="1"/>
  <c r="B363" i="1"/>
  <c r="B358" i="1"/>
  <c r="B389" i="1"/>
  <c r="B401" i="1"/>
  <c r="B362" i="1"/>
  <c r="B405" i="1"/>
  <c r="B357" i="1"/>
  <c r="B383" i="1"/>
  <c r="B379" i="1"/>
  <c r="B404" i="1"/>
  <c r="B364" i="1"/>
  <c r="B378" i="1"/>
  <c r="B365" i="1"/>
  <c r="B396" i="1"/>
  <c r="B361" i="1"/>
  <c r="B368" i="1"/>
  <c r="B359" i="1"/>
  <c r="B369" i="1"/>
  <c r="B398" i="1"/>
  <c r="B370" i="1"/>
  <c r="B374" i="1"/>
  <c r="B377" i="1"/>
  <c r="B400" i="1"/>
  <c r="B376" i="1"/>
  <c r="B366" i="1"/>
  <c r="B380" i="1"/>
  <c r="B394" i="1"/>
  <c r="B382" i="1"/>
  <c r="B423" i="1"/>
  <c r="B417" i="1"/>
  <c r="B410" i="1"/>
  <c r="B409" i="1"/>
  <c r="B435" i="1"/>
  <c r="B421" i="1"/>
  <c r="B446" i="1"/>
  <c r="B437" i="1"/>
  <c r="B419" i="1"/>
  <c r="B430" i="1"/>
  <c r="B422" i="1"/>
  <c r="B445" i="1"/>
  <c r="B433" i="1"/>
  <c r="B424" i="1"/>
  <c r="B448" i="1"/>
  <c r="B429" i="1"/>
  <c r="B414" i="1"/>
  <c r="B416" i="1"/>
  <c r="B418" i="1"/>
  <c r="B420" i="1"/>
  <c r="B427" i="1"/>
  <c r="B425" i="1"/>
  <c r="B434" i="1"/>
  <c r="B431" i="1"/>
  <c r="B440" i="1"/>
  <c r="B411" i="1"/>
  <c r="B444" i="1"/>
  <c r="B447" i="1"/>
  <c r="B443" i="1"/>
  <c r="B412" i="1"/>
  <c r="B415" i="1"/>
  <c r="B428" i="1"/>
  <c r="B439" i="1"/>
  <c r="B441" i="1"/>
  <c r="B407" i="1"/>
  <c r="B442" i="1"/>
  <c r="B432" i="1"/>
  <c r="B436" i="1"/>
  <c r="B408" i="1"/>
  <c r="B413" i="1"/>
  <c r="B474" i="1"/>
  <c r="B473" i="1"/>
  <c r="B488" i="1"/>
  <c r="B472" i="1"/>
  <c r="B455" i="1"/>
  <c r="B470" i="1"/>
  <c r="B468" i="1"/>
  <c r="B483" i="1"/>
  <c r="B462" i="1"/>
  <c r="B478" i="1"/>
  <c r="B501" i="1"/>
  <c r="B451" i="1"/>
  <c r="B481" i="1"/>
  <c r="B461" i="1"/>
  <c r="B466" i="1"/>
  <c r="B500" i="1"/>
  <c r="B467" i="1"/>
  <c r="B492" i="1"/>
  <c r="B487" i="1"/>
  <c r="B482" i="1"/>
  <c r="B458" i="1"/>
  <c r="B457" i="1"/>
  <c r="B453" i="1"/>
  <c r="B498" i="1"/>
  <c r="B454" i="1"/>
  <c r="B456" i="1"/>
  <c r="B449" i="1"/>
  <c r="B464" i="1"/>
  <c r="B465" i="1"/>
  <c r="B459" i="1"/>
  <c r="B479" i="1"/>
  <c r="B484" i="1"/>
  <c r="B480" i="1"/>
  <c r="B485" i="1"/>
  <c r="B476" i="1"/>
  <c r="B491" i="1"/>
  <c r="B486" i="1"/>
  <c r="B475" i="1"/>
  <c r="B497" i="1"/>
  <c r="B477" i="1"/>
  <c r="B471" i="1"/>
  <c r="B494" i="1"/>
  <c r="B493" i="1"/>
  <c r="B499" i="1"/>
  <c r="B496" i="1"/>
  <c r="B460" i="1"/>
  <c r="B495" i="1"/>
  <c r="B450" i="1"/>
  <c r="B489" i="1"/>
  <c r="B463" i="1"/>
  <c r="B469" i="1"/>
  <c r="U500" i="1" l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<sst xmlns="http://schemas.openxmlformats.org/spreadsheetml/2006/main" count="2521" uniqueCount="461">
  <si>
    <t>Name</t>
  </si>
  <si>
    <t>Name_Blank_Check</t>
  </si>
  <si>
    <t>Name_Duplicates</t>
  </si>
  <si>
    <t>Gender</t>
  </si>
  <si>
    <t>genderblank</t>
  </si>
  <si>
    <t>Gendercasecheck</t>
  </si>
  <si>
    <t>Age</t>
  </si>
  <si>
    <t>Age_Blank</t>
  </si>
  <si>
    <t>City</t>
  </si>
  <si>
    <t>City_Case_Check</t>
  </si>
  <si>
    <t>Department</t>
  </si>
  <si>
    <t>Dep_Trimmed</t>
  </si>
  <si>
    <t>Extra_Space_Check</t>
  </si>
  <si>
    <t>Salary</t>
  </si>
  <si>
    <t>Salary_Blank</t>
  </si>
  <si>
    <t>Salary_Valid</t>
  </si>
  <si>
    <t>Email</t>
  </si>
  <si>
    <t>Email_blank</t>
  </si>
  <si>
    <t>Email_domain_check</t>
  </si>
  <si>
    <t>Row_Concat</t>
  </si>
  <si>
    <t>Row_Duplicate_Check</t>
  </si>
  <si>
    <t>Ahmed</t>
  </si>
  <si>
    <t>Male</t>
  </si>
  <si>
    <t>Quetta</t>
  </si>
  <si>
    <t>HR</t>
  </si>
  <si>
    <t>ahmed12@gmail.com</t>
  </si>
  <si>
    <t xml:space="preserve"> HR </t>
  </si>
  <si>
    <t>ahmed13@gmail.com</t>
  </si>
  <si>
    <t>Karachi</t>
  </si>
  <si>
    <t>Finance</t>
  </si>
  <si>
    <t>Female</t>
  </si>
  <si>
    <t>quetta</t>
  </si>
  <si>
    <t>Lahore</t>
  </si>
  <si>
    <t xml:space="preserve"> IT </t>
  </si>
  <si>
    <t>ahmed14@gmail.com</t>
  </si>
  <si>
    <t>Marketing</t>
  </si>
  <si>
    <t>ahmed15@gmail.com</t>
  </si>
  <si>
    <t>Islamabad</t>
  </si>
  <si>
    <t>Sales</t>
  </si>
  <si>
    <t>ahmed19@gmail.com</t>
  </si>
  <si>
    <t>ahmed2@gmail.com</t>
  </si>
  <si>
    <t>ahmed22@gmail.com</t>
  </si>
  <si>
    <t>IT</t>
  </si>
  <si>
    <t>ahmed24@gmail.com</t>
  </si>
  <si>
    <t>ahmed25@gmail.com</t>
  </si>
  <si>
    <t>Peshawar</t>
  </si>
  <si>
    <t>ahmed26@gmail.com</t>
  </si>
  <si>
    <t xml:space="preserve"> Sales </t>
  </si>
  <si>
    <t>ahmed32@gmail.com</t>
  </si>
  <si>
    <t>ahmed33@gmail.com</t>
  </si>
  <si>
    <t>ahmed34@gmail.com</t>
  </si>
  <si>
    <t>ahmed35@gmail.com</t>
  </si>
  <si>
    <t>lahore</t>
  </si>
  <si>
    <t>ahmed39@gmail.com</t>
  </si>
  <si>
    <t>ahmed40@gmail.com</t>
  </si>
  <si>
    <t>ahmed41@gmail.com</t>
  </si>
  <si>
    <t>ahmed42@gmail.com</t>
  </si>
  <si>
    <t>ahmed44@gmail.com</t>
  </si>
  <si>
    <t>ahmed47@gmail.com</t>
  </si>
  <si>
    <t>ahmed48@gmail.com</t>
  </si>
  <si>
    <t xml:space="preserve"> Finance </t>
  </si>
  <si>
    <t>ahmed5@gmail.com</t>
  </si>
  <si>
    <t>ahmed50@gmail.com</t>
  </si>
  <si>
    <t>ahmed52@gmail.com</t>
  </si>
  <si>
    <t>ahmed55@gmail.com</t>
  </si>
  <si>
    <t>ahmed59@gmail.com</t>
  </si>
  <si>
    <t>karachi</t>
  </si>
  <si>
    <t>ahmed61@gmail.com</t>
  </si>
  <si>
    <t>ahmed63@gmail.com</t>
  </si>
  <si>
    <t>ahmed64@gmail.com</t>
  </si>
  <si>
    <t>ahmed68@gamil.com</t>
  </si>
  <si>
    <t>ahmed7@gmail.com</t>
  </si>
  <si>
    <t>ahmed75@gmail.com</t>
  </si>
  <si>
    <t>ahmed78@gmail.com</t>
  </si>
  <si>
    <t xml:space="preserve"> Marketing </t>
  </si>
  <si>
    <t>ahmed8@gmail.com</t>
  </si>
  <si>
    <t>ahmed80@gmail.com</t>
  </si>
  <si>
    <t>ahmed81@gmail.com</t>
  </si>
  <si>
    <t>ahmed83@gmail.com</t>
  </si>
  <si>
    <t>ahmed84@gmail.com</t>
  </si>
  <si>
    <t>ahmed88@gmail.com</t>
  </si>
  <si>
    <t>ahmed89@gmail.com</t>
  </si>
  <si>
    <t>ahmed90@gmail.com</t>
  </si>
  <si>
    <t>ahmed91@gmail.com</t>
  </si>
  <si>
    <t>ahmed93@gmail.com</t>
  </si>
  <si>
    <t>ahmed94@gmail.com</t>
  </si>
  <si>
    <t>ahmed95@gmail.com</t>
  </si>
  <si>
    <t>ahmed96@gmail.com</t>
  </si>
  <si>
    <t>ahmed97@gmail.com</t>
  </si>
  <si>
    <t>ahmed98@gmail.com</t>
  </si>
  <si>
    <t>ahmed99@gmail.com</t>
  </si>
  <si>
    <t>Ali</t>
  </si>
  <si>
    <t>ali10@gmail.com</t>
  </si>
  <si>
    <t>ali12@gmail.com</t>
  </si>
  <si>
    <t>ali17@gmail.com</t>
  </si>
  <si>
    <t>ali18@gmail.com</t>
  </si>
  <si>
    <t>ali19@gmail.com</t>
  </si>
  <si>
    <t>ali2@gmail.com</t>
  </si>
  <si>
    <t>ali24@gmail.com</t>
  </si>
  <si>
    <t>ali25@gmail.com</t>
  </si>
  <si>
    <t>ali26@gmail.com</t>
  </si>
  <si>
    <t>peshawar</t>
  </si>
  <si>
    <t>ali27@gmail.com</t>
  </si>
  <si>
    <t>ali28@gmail.com</t>
  </si>
  <si>
    <t>ali29@gmail.com</t>
  </si>
  <si>
    <t>ali31@gamil.com</t>
  </si>
  <si>
    <t>ali32@gamil.com</t>
  </si>
  <si>
    <t>ali32@gmail.com</t>
  </si>
  <si>
    <t>ali33@gmail.com</t>
  </si>
  <si>
    <t>ali37@gmail.com</t>
  </si>
  <si>
    <t>ali45@gamil.com</t>
  </si>
  <si>
    <t>ali45@gmail.com</t>
  </si>
  <si>
    <t>ali49@gmail.com</t>
  </si>
  <si>
    <t>ali5@gmail.com</t>
  </si>
  <si>
    <t>ali54@gmail.com</t>
  </si>
  <si>
    <t>ali56@gmail.com</t>
  </si>
  <si>
    <t>ali59@gmail.com</t>
  </si>
  <si>
    <t>ali60@gmail.com</t>
  </si>
  <si>
    <t>ali65@gmail.com</t>
  </si>
  <si>
    <t>ali66@gmail.com</t>
  </si>
  <si>
    <t>ali67@gmail.com</t>
  </si>
  <si>
    <t>ali68@gmail.com</t>
  </si>
  <si>
    <t>ali69@gmail.com</t>
  </si>
  <si>
    <t>ali70@gmail.com</t>
  </si>
  <si>
    <t>ali73@gmail.com</t>
  </si>
  <si>
    <t>ali77@gmail.com</t>
  </si>
  <si>
    <t>ali81@gmail.com</t>
  </si>
  <si>
    <t>ali82@gmail.com</t>
  </si>
  <si>
    <t>ali85@gmail.com</t>
  </si>
  <si>
    <t>ali86@gmail.com</t>
  </si>
  <si>
    <t>ali87@gmail.com</t>
  </si>
  <si>
    <t>ali88@gmail.com</t>
  </si>
  <si>
    <t>ali90@gmail.com</t>
  </si>
  <si>
    <t>ali93@gmail.com</t>
  </si>
  <si>
    <t>ali98@gmail.com</t>
  </si>
  <si>
    <t>Ayesha</t>
  </si>
  <si>
    <t>ayesha11@gmail.com</t>
  </si>
  <si>
    <t>ayesha13@gmail.com</t>
  </si>
  <si>
    <t>ayesha23@gmail.com</t>
  </si>
  <si>
    <t>ayesha25@gmail.com</t>
  </si>
  <si>
    <t>ayesha28@gmail.com</t>
  </si>
  <si>
    <t>ayesha3@gmail.com</t>
  </si>
  <si>
    <t>ayesha31@gmail.com</t>
  </si>
  <si>
    <t>ayesha34@gmail.com</t>
  </si>
  <si>
    <t>ayesha35@gmail.com</t>
  </si>
  <si>
    <t>ayesha36@gmail.com</t>
  </si>
  <si>
    <t>ayesha37@gmail.com</t>
  </si>
  <si>
    <t>ayesha4@gmail.com</t>
  </si>
  <si>
    <t>ayesha41@gamil.com</t>
  </si>
  <si>
    <t>ayesha48@gmail.com</t>
  </si>
  <si>
    <t>ayesha5@gmail.com</t>
  </si>
  <si>
    <t>ayesha52@gmail.com</t>
  </si>
  <si>
    <t>ayesha54@gamil.com</t>
  </si>
  <si>
    <t>ayesha55@gamil.com</t>
  </si>
  <si>
    <t>ayesha59@gmail.com</t>
  </si>
  <si>
    <t>ayesha60@gmail.com</t>
  </si>
  <si>
    <t>ayesha61@gmail.com</t>
  </si>
  <si>
    <t>islamabad</t>
  </si>
  <si>
    <t>ayesha62@gmail.com</t>
  </si>
  <si>
    <t>ayesha68@gmail.com</t>
  </si>
  <si>
    <t>ayesha69@gmail.com</t>
  </si>
  <si>
    <t>ayesha7@gmail.com</t>
  </si>
  <si>
    <t>ayesha71@gmail.com</t>
  </si>
  <si>
    <t>ayesha72@gmail.com</t>
  </si>
  <si>
    <t>ayesha73@gmail.com</t>
  </si>
  <si>
    <t>ayesha77@gmail.com</t>
  </si>
  <si>
    <t>ayesha78@gamil.com</t>
  </si>
  <si>
    <t>ayesha78@gmail.com</t>
  </si>
  <si>
    <t>ayesha79@gmail.com</t>
  </si>
  <si>
    <t>ayesha84@gmail.com</t>
  </si>
  <si>
    <t>ayesha88@gmail.com</t>
  </si>
  <si>
    <t>ayesha89@gmail.com</t>
  </si>
  <si>
    <t>ayesha95@gmail.com</t>
  </si>
  <si>
    <t>ayesha97@gmail.com</t>
  </si>
  <si>
    <t>ayesha98@gmail.com</t>
  </si>
  <si>
    <t>Bilal</t>
  </si>
  <si>
    <t>bilal1@gmail.com</t>
  </si>
  <si>
    <t>bilal13@gmail.com</t>
  </si>
  <si>
    <t>bilal16@gmail.com</t>
  </si>
  <si>
    <t>bilal17@gmail.com</t>
  </si>
  <si>
    <t>bilal2@gmail.com</t>
  </si>
  <si>
    <t>bilal22@gmail.com</t>
  </si>
  <si>
    <t>bilal27@gmail.com</t>
  </si>
  <si>
    <t>bilal30@gmail.com</t>
  </si>
  <si>
    <t>bilal31@gmail.com</t>
  </si>
  <si>
    <t>bilal32@gmail.com</t>
  </si>
  <si>
    <t>bilal36@gmail.com</t>
  </si>
  <si>
    <t>bilal37@gmail.com</t>
  </si>
  <si>
    <t>bilal42@gmail.com</t>
  </si>
  <si>
    <t>bilal44@gmail.com</t>
  </si>
  <si>
    <t>bilal45@gmail.com</t>
  </si>
  <si>
    <t>bilal46@gmail.com</t>
  </si>
  <si>
    <t>bilal47@gmail.com</t>
  </si>
  <si>
    <t>bilal49@gmail.com</t>
  </si>
  <si>
    <t>bilal5@gmail.com</t>
  </si>
  <si>
    <t>bilal51@gmail.com</t>
  </si>
  <si>
    <t>bilal55@gmail.com</t>
  </si>
  <si>
    <t>bilal58@gmail.com</t>
  </si>
  <si>
    <t>bilal59@gmail.com</t>
  </si>
  <si>
    <t>bilal64@gmail.com</t>
  </si>
  <si>
    <t>bilal66@gmail.com</t>
  </si>
  <si>
    <t>bilal68@gmail.com</t>
  </si>
  <si>
    <t>bilal69@gmail.com</t>
  </si>
  <si>
    <t>bilal71@gmail.com</t>
  </si>
  <si>
    <t>bilal72@gmail.com</t>
  </si>
  <si>
    <t>bilal74@gmail.com</t>
  </si>
  <si>
    <t>bilal76@gmail.com</t>
  </si>
  <si>
    <t>bilal78@gmail.com</t>
  </si>
  <si>
    <t>bilal8@gmail.com</t>
  </si>
  <si>
    <t>bilal81@gmail.com</t>
  </si>
  <si>
    <t>bilal83@gmail.com</t>
  </si>
  <si>
    <t>bilal85@gmail.com</t>
  </si>
  <si>
    <t>bilal89@gmail.com</t>
  </si>
  <si>
    <t>bilal91@gmail.com</t>
  </si>
  <si>
    <t>bilal93@gmail.com</t>
  </si>
  <si>
    <t>bilal95@gmail.com</t>
  </si>
  <si>
    <t>bilal96@gmail.com</t>
  </si>
  <si>
    <t>bilal97@gmail.com</t>
  </si>
  <si>
    <t>bilal99@gmail.com</t>
  </si>
  <si>
    <t>Hina</t>
  </si>
  <si>
    <t>hina12@gmail.com</t>
  </si>
  <si>
    <t>hina15@gmail.com</t>
  </si>
  <si>
    <t>hina17@gmail.com</t>
  </si>
  <si>
    <t>hina19@gmail.com</t>
  </si>
  <si>
    <t>hina23@gmail.com</t>
  </si>
  <si>
    <t>hina26@gmail.com</t>
  </si>
  <si>
    <t>hina29@gmail.com</t>
  </si>
  <si>
    <t>hina33@gmail.com</t>
  </si>
  <si>
    <t>hina35@gmail.com</t>
  </si>
  <si>
    <t>hina37@gamil.com</t>
  </si>
  <si>
    <t>hina41@gmail.com</t>
  </si>
  <si>
    <t>hina44@gmail.com</t>
  </si>
  <si>
    <t>hina56@gmail.com</t>
  </si>
  <si>
    <t>hina58@gmail.com</t>
  </si>
  <si>
    <t>hina62@gmail.com</t>
  </si>
  <si>
    <t>hina63@gmail.com</t>
  </si>
  <si>
    <t>hina64@gmail.com</t>
  </si>
  <si>
    <t>hina65@gmail.com</t>
  </si>
  <si>
    <t>hina66@gmail.com</t>
  </si>
  <si>
    <t>hina69@gmail.com</t>
  </si>
  <si>
    <t>hina72@gmail.com</t>
  </si>
  <si>
    <t>hina73@gmail.com</t>
  </si>
  <si>
    <t>hina74@gmail.com</t>
  </si>
  <si>
    <t>hina77@gamil.com</t>
  </si>
  <si>
    <t>hina77@gmail.com</t>
  </si>
  <si>
    <t>hina81@gmail.com</t>
  </si>
  <si>
    <t>hina87@gmail.com</t>
  </si>
  <si>
    <t>hina90@gmail.com</t>
  </si>
  <si>
    <t>hina93@gmail.com</t>
  </si>
  <si>
    <t>hina96@gmail.com</t>
  </si>
  <si>
    <t>hina99@gmail.com</t>
  </si>
  <si>
    <t>Sana</t>
  </si>
  <si>
    <t>sana10@gmail.com</t>
  </si>
  <si>
    <t>sana11@gmail.com</t>
  </si>
  <si>
    <t>sana12@gmail.com</t>
  </si>
  <si>
    <t>sana13@gmail.com</t>
  </si>
  <si>
    <t>sana15@gmail.com</t>
  </si>
  <si>
    <t>sana16@gmail.com</t>
  </si>
  <si>
    <t>sana17@gmail.com</t>
  </si>
  <si>
    <t>sana18@gmail.com</t>
  </si>
  <si>
    <t>sana2@gmail.com</t>
  </si>
  <si>
    <t>sana22@gmail.com</t>
  </si>
  <si>
    <t>sana25@gmail.com</t>
  </si>
  <si>
    <t>sana26@gmail.com</t>
  </si>
  <si>
    <t>sana29@gmail.com</t>
  </si>
  <si>
    <t>sana3@gmail.com</t>
  </si>
  <si>
    <t>sana33@gmail.com</t>
  </si>
  <si>
    <t>sana34@gmail.com</t>
  </si>
  <si>
    <t>sana35@gmail.com</t>
  </si>
  <si>
    <t>sana36@gmail.com</t>
  </si>
  <si>
    <t>sana40@gmail.com</t>
  </si>
  <si>
    <t>sana43@gamil.com</t>
  </si>
  <si>
    <t>sana43@gmail.com</t>
  </si>
  <si>
    <t>sana47@gmail.com</t>
  </si>
  <si>
    <t>sana48@gmail.com</t>
  </si>
  <si>
    <t>sana51@gmail.com</t>
  </si>
  <si>
    <t>sana53@gmail.com</t>
  </si>
  <si>
    <t>sana54@gmail.com</t>
  </si>
  <si>
    <t>sana55@gmail.com</t>
  </si>
  <si>
    <t>sana56@gamil.com</t>
  </si>
  <si>
    <t>sana56@gmail.com</t>
  </si>
  <si>
    <t>sana63@gmail.com</t>
  </si>
  <si>
    <t>sana64@gmail.com</t>
  </si>
  <si>
    <t>sana7@gmail.com</t>
  </si>
  <si>
    <t>sana71@gmail.com</t>
  </si>
  <si>
    <t>sana72@gmail.com</t>
  </si>
  <si>
    <t>sana73@gmail.com</t>
  </si>
  <si>
    <t>sana77@gmail.com</t>
  </si>
  <si>
    <t>sana81@gmail.com</t>
  </si>
  <si>
    <t>sana84@gmail.com</t>
  </si>
  <si>
    <t>sana86@gmail.com</t>
  </si>
  <si>
    <t>sana88@gmail.com</t>
  </si>
  <si>
    <t>sana89@gmail.com</t>
  </si>
  <si>
    <t>sana9@gmail.com</t>
  </si>
  <si>
    <t>sana91@gmail.com</t>
  </si>
  <si>
    <t>sana93@gmail.com</t>
  </si>
  <si>
    <t>sana94@gmail.com</t>
  </si>
  <si>
    <t>sana95@gmail.com</t>
  </si>
  <si>
    <t>sana98@gmail.com</t>
  </si>
  <si>
    <t>Sara</t>
  </si>
  <si>
    <t>sara1@gmail.com</t>
  </si>
  <si>
    <t>sara12@gmail.com</t>
  </si>
  <si>
    <t>sara15@gmail.com</t>
  </si>
  <si>
    <t>sara23@gmail.com</t>
  </si>
  <si>
    <t>sara28@gmail.com</t>
  </si>
  <si>
    <t>sara33@gmail.com</t>
  </si>
  <si>
    <t>sara4@gmail.com</t>
  </si>
  <si>
    <t>sara41@gmail.com</t>
  </si>
  <si>
    <t>sara43@gmail.com</t>
  </si>
  <si>
    <t>sara44@gmail.com</t>
  </si>
  <si>
    <t>sara46@gmail.com</t>
  </si>
  <si>
    <t>sara48@gmail.com</t>
  </si>
  <si>
    <t>sara51@gmail.com</t>
  </si>
  <si>
    <t>sara53@gmail.com</t>
  </si>
  <si>
    <t>sara54@gmail.com</t>
  </si>
  <si>
    <t>sara56@gmail.com</t>
  </si>
  <si>
    <t>sara59@gmail.com</t>
  </si>
  <si>
    <t>sara6@gmail.com</t>
  </si>
  <si>
    <t>sara60@gmail.com</t>
  </si>
  <si>
    <t>sara61@gmail.com</t>
  </si>
  <si>
    <t>sara62@gmail.com</t>
  </si>
  <si>
    <t>sara63@gmail.com</t>
  </si>
  <si>
    <t>sara66@gmail.com</t>
  </si>
  <si>
    <t>sara67@gmail.com</t>
  </si>
  <si>
    <t>sara71@gmail.com</t>
  </si>
  <si>
    <t>sara72@gmail.com</t>
  </si>
  <si>
    <t>sara73@gmail.com</t>
  </si>
  <si>
    <t>sara75@gmail.com</t>
  </si>
  <si>
    <t>sara76@gmail.com</t>
  </si>
  <si>
    <t>sara78@gamil.com</t>
  </si>
  <si>
    <t>sara78@gmail.com</t>
  </si>
  <si>
    <t>sara80@gmail.com</t>
  </si>
  <si>
    <t>sara84@gmail.com</t>
  </si>
  <si>
    <t>sara86@gmail.com</t>
  </si>
  <si>
    <t>sara9@gmail.com</t>
  </si>
  <si>
    <t>sara90@gmail.com</t>
  </si>
  <si>
    <t>sara93@gmail.com</t>
  </si>
  <si>
    <t>sara96@gmail.com</t>
  </si>
  <si>
    <t>sara97@gmail.com</t>
  </si>
  <si>
    <t>Tariq</t>
  </si>
  <si>
    <t>tariq10@gamil.com</t>
  </si>
  <si>
    <t>tariq10@gmail.com</t>
  </si>
  <si>
    <t>tariq17@gmail.com</t>
  </si>
  <si>
    <t>tariq19@gmail.com</t>
  </si>
  <si>
    <t>tariq21@gmail.com</t>
  </si>
  <si>
    <t>tariq29@gmail.com</t>
  </si>
  <si>
    <t>tariq31@gmail.com</t>
  </si>
  <si>
    <t>tariq33@gmail.com</t>
  </si>
  <si>
    <t>tariq34@gmail.com</t>
  </si>
  <si>
    <t>tariq35@gmail.com</t>
  </si>
  <si>
    <t>tariq36@gmail.com</t>
  </si>
  <si>
    <t>tariq37@gmail.com</t>
  </si>
  <si>
    <t>tariq39@gmail.com</t>
  </si>
  <si>
    <t>tariq44@gmail.com</t>
  </si>
  <si>
    <t>tariq45@gmail.com</t>
  </si>
  <si>
    <t>tariq47@gmail.com</t>
  </si>
  <si>
    <t>tariq56@gmail.com</t>
  </si>
  <si>
    <t>tariq57@gmail.com</t>
  </si>
  <si>
    <t>tariq58@gmail.com</t>
  </si>
  <si>
    <t>tariq59@gmail.com</t>
  </si>
  <si>
    <t>tariq60@gmail.com</t>
  </si>
  <si>
    <t>tariq61@gmail.com</t>
  </si>
  <si>
    <t>tariq64@gmail.com</t>
  </si>
  <si>
    <t>tariq65@gmail.com</t>
  </si>
  <si>
    <t>tariq67@gmail.com</t>
  </si>
  <si>
    <t>tariq69@gmail.com</t>
  </si>
  <si>
    <t>tariq7@gmail.com</t>
  </si>
  <si>
    <t>tariq70@gmail.com</t>
  </si>
  <si>
    <t>tariq72@gmail.com</t>
  </si>
  <si>
    <t>tariq75@gmail.com</t>
  </si>
  <si>
    <t>tariq76@gmail.com</t>
  </si>
  <si>
    <t>tariq78@gmail.com</t>
  </si>
  <si>
    <t>tariq79@gamil.com</t>
  </si>
  <si>
    <t>tariq82@gmail.com</t>
  </si>
  <si>
    <t>tariq83@gmail.com</t>
  </si>
  <si>
    <t>tariq84@gmail.com</t>
  </si>
  <si>
    <t>tariq90@gmail.com</t>
  </si>
  <si>
    <t>tariq92@gmail.com</t>
  </si>
  <si>
    <t>tariq94@gmail.com</t>
  </si>
  <si>
    <t>tariq99@gmail.com</t>
  </si>
  <si>
    <t>Usman</t>
  </si>
  <si>
    <t>usman12@gamil.com</t>
  </si>
  <si>
    <t>usman13@gmail.com</t>
  </si>
  <si>
    <t>usman14@gmail.com</t>
  </si>
  <si>
    <t>usman15@gmail.com</t>
  </si>
  <si>
    <t>usman18@gmail.com</t>
  </si>
  <si>
    <t>usman2@gmail.com</t>
  </si>
  <si>
    <t>usman20@gmail.com</t>
  </si>
  <si>
    <t>usman21@gmail.com</t>
  </si>
  <si>
    <t>usman25@gmail.com</t>
  </si>
  <si>
    <t>usman28@gmail.com</t>
  </si>
  <si>
    <t>usman3@gmail.com</t>
  </si>
  <si>
    <t>usman30@gmail.com</t>
  </si>
  <si>
    <t>usman32@gamil.com</t>
  </si>
  <si>
    <t>usman32@gmail.com</t>
  </si>
  <si>
    <t>usman35@gmail.com</t>
  </si>
  <si>
    <t>usman38@gmail.com</t>
  </si>
  <si>
    <t>usman41@gmail.com</t>
  </si>
  <si>
    <t>usman46@gmail.com</t>
  </si>
  <si>
    <t>usman48@gmail.com</t>
  </si>
  <si>
    <t>usman52@gmail.com</t>
  </si>
  <si>
    <t>usman54@gmail.com</t>
  </si>
  <si>
    <t>usman57@gmail.com</t>
  </si>
  <si>
    <t>usman58@gmail.com</t>
  </si>
  <si>
    <t>usman59@gmail.com</t>
  </si>
  <si>
    <t>usman61@gmail.com</t>
  </si>
  <si>
    <t>usman65@gmail.com</t>
  </si>
  <si>
    <t>usman66@gmail.com</t>
  </si>
  <si>
    <t>usman69@gmail.com</t>
  </si>
  <si>
    <t>usman71@gmail.com</t>
  </si>
  <si>
    <t>usman74@gmail.com</t>
  </si>
  <si>
    <t>usman76@gmail.com</t>
  </si>
  <si>
    <t>usman78@gmail.com</t>
  </si>
  <si>
    <t>usman80@gamil.com</t>
  </si>
  <si>
    <t>usman85@gmail.com</t>
  </si>
  <si>
    <t>usman92@gmail.com</t>
  </si>
  <si>
    <t>usman93@gmail.com</t>
  </si>
  <si>
    <t>usman98@gmail.com</t>
  </si>
  <si>
    <t>usman99@gmail.com</t>
  </si>
  <si>
    <t>Zara</t>
  </si>
  <si>
    <t>zara11@gmail.com</t>
  </si>
  <si>
    <t>zara12@gmail.com</t>
  </si>
  <si>
    <t>zara14@gmail.com</t>
  </si>
  <si>
    <t>zara15@gmail.com</t>
  </si>
  <si>
    <t>zara16@gamil.com</t>
  </si>
  <si>
    <t>zara18@gmail.com</t>
  </si>
  <si>
    <t>zara19@gmail.com</t>
  </si>
  <si>
    <t>zara20@gmail.com</t>
  </si>
  <si>
    <t>zara21@gmail.com</t>
  </si>
  <si>
    <t>zara23@gmail.com</t>
  </si>
  <si>
    <t>zara24@gmail.com</t>
  </si>
  <si>
    <t>zara25@gmail.com</t>
  </si>
  <si>
    <t>zara27@gmail.com</t>
  </si>
  <si>
    <t>zara3@gmail.com</t>
  </si>
  <si>
    <t>zara34@gmail.com</t>
  </si>
  <si>
    <t>zara35@gmail.com</t>
  </si>
  <si>
    <t>zara38@gmail.com</t>
  </si>
  <si>
    <t>zara39@gmail.com</t>
  </si>
  <si>
    <t>zara4@gmail.com</t>
  </si>
  <si>
    <t>zara40@gmail.com</t>
  </si>
  <si>
    <t>zara46@gmail.com</t>
  </si>
  <si>
    <t>zara50@gmail.com</t>
  </si>
  <si>
    <t>zara51@gmail.com</t>
  </si>
  <si>
    <t>zara55@gmail.com</t>
  </si>
  <si>
    <t>zara59@gmail.com</t>
  </si>
  <si>
    <t>zara63@gmail.com</t>
  </si>
  <si>
    <t>zara64@gamil.com</t>
  </si>
  <si>
    <t>zara64@gmail.com</t>
  </si>
  <si>
    <t>zara65@gmail.com</t>
  </si>
  <si>
    <t>zara69@gmail.com</t>
  </si>
  <si>
    <t>zara7@gmail.com</t>
  </si>
  <si>
    <t>zara70@gmail.com</t>
  </si>
  <si>
    <t>zara71@gmail.com</t>
  </si>
  <si>
    <t>zara74@gmail.com</t>
  </si>
  <si>
    <t>zara75@gmail.com</t>
  </si>
  <si>
    <t>zara79@gmail.com</t>
  </si>
  <si>
    <t>zara91@gmail.com</t>
  </si>
  <si>
    <t>zara96@gmail.com</t>
  </si>
  <si>
    <t>zara97@gmail.com</t>
  </si>
  <si>
    <t>zara98@gmail.com</t>
  </si>
  <si>
    <t>zara99@gmail.com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</si>
</sst>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FE258-2F9A-47B6-A1C3-DA8CA71004AF}" name="Table1" displayName="Table1" ref="A1:U501" totalsRowShown="0">
  <autoFilter ref="A1:U501" xr:uid="{9D9FE258-2F9A-47B6-A1C3-DA8CA71004AF}"/>
  <sortState xmlns:xlrd2="http://schemas.microsoft.com/office/spreadsheetml/2017/richdata2" ref="A2:U501">
    <sortCondition ref="C1:C501"/>
  </sortState>
  <tableColumns count="21">
    <tableColumn id="1" xr3:uid="{7AAC6BF1-AFCE-4571-A56F-2AD8DD77EDD8}" name="Name"/>
    <tableColumn id="8" xr3:uid="{2FFBD6D9-4505-42E4-B534-299B1C2D31BD}" name="Name_Blank_Check" dataDxfId="13">
      <calculatedColumnFormula>LEN(TRIM(A2))=0</calculatedColumnFormula>
    </tableColumn>
    <tableColumn id="22" xr3:uid="{BA427FB3-56F7-451A-8728-C826E1276662}" name="Name_Duplicates" dataDxfId="12">
      <calculatedColumnFormula>COUNTIF(A:A,A2)&gt;1</calculatedColumnFormula>
    </tableColumn>
    <tableColumn id="2" xr3:uid="{CC2C32FE-A202-44AC-A0AE-54EE0686AD9B}" name="Gender"/>
    <tableColumn id="9" xr3:uid="{2D590AC0-A88A-4016-A21F-A6B27DABA8E2}" name="genderblank" dataDxfId="11">
      <calculatedColumnFormula>LEN(TRIM(D2))=0</calculatedColumnFormula>
    </tableColumn>
    <tableColumn id="10" xr3:uid="{5AAB18D0-E293-405E-8126-0B80DF364A0D}" name="Gendercasecheck" dataDxfId="10">
      <calculatedColumnFormula>EXACT(D2,PROPER(D2))</calculatedColumnFormula>
    </tableColumn>
    <tableColumn id="3" xr3:uid="{E69743C7-A8E4-4A64-9D47-21ED83CC3584}" name="Age"/>
    <tableColumn id="11" xr3:uid="{A41C6D3F-B924-4214-9B91-7278B6E4FE0D}" name="Age_Blank" dataDxfId="9">
      <calculatedColumnFormula>LEN(TRIM(G2))=0</calculatedColumnFormula>
    </tableColumn>
    <tableColumn id="4" xr3:uid="{55D4DA15-7526-4D46-96E3-93A14F1FA544}" name="City"/>
    <tableColumn id="14" xr3:uid="{DF2A588B-201F-48AA-BBDE-B37FCD7FC82D}" name="City_Case_Check" dataDxfId="8">
      <calculatedColumnFormula>EXACT(I2,PROPER(I2))</calculatedColumnFormula>
    </tableColumn>
    <tableColumn id="5" xr3:uid="{2B46031B-AFAD-46D8-BF1C-DB035C860C87}" name="Department"/>
    <tableColumn id="16" xr3:uid="{14E35A73-41A9-4CA3-B945-BDF1A0AF254E}" name="Dep_Trimmed" dataDxfId="7">
      <calculatedColumnFormula>TRIM(K2)</calculatedColumnFormula>
    </tableColumn>
    <tableColumn id="17" xr3:uid="{057A38FD-103A-4869-B179-49B76CED7F6A}" name="Extra_Space_Check" dataDxfId="6">
      <calculatedColumnFormula>K2&lt;&gt;L2</calculatedColumnFormula>
    </tableColumn>
    <tableColumn id="6" xr3:uid="{4116B9BE-F38D-4F9D-96B4-4D274B089C7A}" name="Salary"/>
    <tableColumn id="18" xr3:uid="{30474045-A25A-42C2-BBE6-8781E95BD448}" name="Salary_Blank" dataDxfId="5">
      <calculatedColumnFormula>LEN(TRIM(N2))=0</calculatedColumnFormula>
    </tableColumn>
    <tableColumn id="19" xr3:uid="{5046A429-F194-4968-B6B3-C156AE722063}" name="Salary_Valid" dataDxfId="4">
      <calculatedColumnFormula>AND(N2&gt;0, N2&lt;1000000)</calculatedColumnFormula>
    </tableColumn>
    <tableColumn id="7" xr3:uid="{E25BB8B0-018B-4142-A34C-EF8EAA1B0393}" name="Email"/>
    <tableColumn id="20" xr3:uid="{B9A0E93E-15BB-4002-803C-1F958E3E4220}" name="Email_blank" dataDxfId="3">
      <calculatedColumnFormula>LEN(TRIM(Q2))=0</calculatedColumnFormula>
    </tableColumn>
    <tableColumn id="21" xr3:uid="{20D83D10-11FD-44BA-84C6-004AEA66EC94}" name="Email_domain_check" dataDxfId="2">
      <calculatedColumnFormula>IF(RIGHT(TRIM(Q2),9)="gmail.com","OK","Typo")</calculatedColumnFormula>
    </tableColumn>
    <tableColumn id="13" xr3:uid="{3AE47154-7C0E-43C3-9D6C-27B92BFBF96E}" name="Row_Concat" dataDxfId="1">
      <calculatedColumnFormula>A2&amp;D2&amp;G2&amp;I2&amp;K2&amp;N2&amp;Q2</calculatedColumnFormula>
    </tableColumn>
    <tableColumn id="15" xr3:uid="{611F7FF1-7637-4857-9067-BE5EC52AEA77}" name="Row_Duplicate_Check" dataDxfId="0">
      <calculatedColumnFormula>COUNTIF(T:T,T2)&gt;1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33E5-10F0-4C95-876E-8FD512AE2586}">
  <dimension ref="A1:U501"/>
  <sheetViews>
    <sheetView tabSelected="1" workbookViewId="0">
      <selection activeCell="S9" sqref="S9"/>
    </sheetView>
  </sheetViews>
  <sheetFormatPr defaultRowHeight="15"/>
  <cols>
    <col min="1" max="3" width="23.42578125" customWidth="1"/>
    <col min="4" max="5" width="15.5703125" customWidth="1"/>
    <col min="6" max="6" width="18" customWidth="1"/>
    <col min="7" max="8" width="19.42578125" customWidth="1"/>
    <col min="9" max="9" width="14.85546875" customWidth="1"/>
    <col min="10" max="10" width="19.140625" customWidth="1"/>
    <col min="11" max="12" width="18" customWidth="1"/>
    <col min="13" max="13" width="20.5703125" customWidth="1"/>
    <col min="14" max="16" width="18.28515625" customWidth="1"/>
    <col min="17" max="19" width="25.5703125" customWidth="1"/>
    <col min="20" max="20" width="53.5703125" customWidth="1"/>
    <col min="21" max="21" width="23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b">
        <f>LEN(TRIM(A2))=0</f>
        <v>0</v>
      </c>
      <c r="C2" t="b">
        <f>COUNTIF(A:A,A2)&gt;1</f>
        <v>1</v>
      </c>
      <c r="D2" t="s">
        <v>22</v>
      </c>
      <c r="E2" t="b">
        <f>LEN(TRIM(D2))=0</f>
        <v>0</v>
      </c>
      <c r="F2" t="b">
        <f>EXACT(D2,PROPER(D2))</f>
        <v>1</v>
      </c>
      <c r="H2" t="b">
        <f>LEN(TRIM(G2))=0</f>
        <v>1</v>
      </c>
      <c r="I2" t="s">
        <v>23</v>
      </c>
      <c r="J2" t="b">
        <f>EXACT(I2,PROPER(I2))</f>
        <v>1</v>
      </c>
      <c r="K2" t="s">
        <v>24</v>
      </c>
      <c r="L2" t="str">
        <f>TRIM(K2)</f>
        <v>HR</v>
      </c>
      <c r="M2" t="b">
        <f>K2&lt;&gt;L2</f>
        <v>0</v>
      </c>
      <c r="N2">
        <v>98317.35</v>
      </c>
      <c r="O2" t="b">
        <f>LEN(TRIM(N2))=0</f>
        <v>0</v>
      </c>
      <c r="P2" t="b">
        <f>AND(N2&gt;0, N2&lt;1000000)</f>
        <v>1</v>
      </c>
      <c r="Q2" t="s">
        <v>25</v>
      </c>
      <c r="R2" s="2" t="b">
        <f>LEN(TRIM(Q2))=0</f>
        <v>0</v>
      </c>
      <c r="S2" s="2" t="str">
        <f>IF(RIGHT(TRIM(Q2),9)="gmail.com","OK","Typo")</f>
        <v>OK</v>
      </c>
      <c r="T2" s="2" t="str">
        <f>A2&amp;D2&amp;G2&amp;I2&amp;K2&amp;N2&amp;Q2</f>
        <v>AhmedMaleQuettaHR98317.35ahmed12@gmail.com</v>
      </c>
      <c r="U2" s="2" t="b">
        <f>COUNTIF(T:T,T2)&gt;1</f>
        <v>0</v>
      </c>
    </row>
    <row r="3" spans="1:21">
      <c r="A3" t="s">
        <v>21</v>
      </c>
      <c r="B3" t="b">
        <f>LEN(TRIM(A3))=0</f>
        <v>0</v>
      </c>
      <c r="C3" t="b">
        <f>COUNTIF(A:A,A3)&gt;1</f>
        <v>1</v>
      </c>
      <c r="D3" t="s">
        <v>22</v>
      </c>
      <c r="E3" t="b">
        <f>LEN(TRIM(D3))=0</f>
        <v>0</v>
      </c>
      <c r="F3" t="b">
        <f>EXACT(D3,PROPER(D3))</f>
        <v>1</v>
      </c>
      <c r="G3">
        <v>39</v>
      </c>
      <c r="H3" t="b">
        <f>LEN(TRIM(G3))=0</f>
        <v>0</v>
      </c>
      <c r="I3" t="s">
        <v>23</v>
      </c>
      <c r="J3" t="b">
        <f>EXACT(I3,PROPER(I3))</f>
        <v>1</v>
      </c>
      <c r="K3" t="s">
        <v>26</v>
      </c>
      <c r="L3" t="str">
        <f>TRIM(K3)</f>
        <v>HR</v>
      </c>
      <c r="M3" t="b">
        <f>K3&lt;&gt;L3</f>
        <v>1</v>
      </c>
      <c r="N3">
        <v>104732.77</v>
      </c>
      <c r="O3" t="b">
        <f>LEN(TRIM(N3))=0</f>
        <v>0</v>
      </c>
      <c r="P3" t="b">
        <f>AND(N3&gt;0, N3&lt;1000000)</f>
        <v>1</v>
      </c>
      <c r="Q3" t="s">
        <v>27</v>
      </c>
      <c r="R3" s="2" t="b">
        <f>LEN(TRIM(Q3))=0</f>
        <v>0</v>
      </c>
      <c r="S3" s="2" t="str">
        <f>IF(RIGHT(TRIM(Q3),9)="gmail.com","OK","Typo")</f>
        <v>OK</v>
      </c>
      <c r="T3" s="2" t="str">
        <f>A3&amp;D3&amp;G3&amp;I3&amp;K3&amp;N3&amp;Q3</f>
        <v>AhmedMale39Quetta HR 104732.77ahmed13@gmail.com</v>
      </c>
      <c r="U3" s="2" t="b">
        <f>COUNTIF(T:T,T3)&gt;1</f>
        <v>0</v>
      </c>
    </row>
    <row r="4" spans="1:21">
      <c r="A4" t="s">
        <v>21</v>
      </c>
      <c r="B4" t="b">
        <f>LEN(TRIM(A4))=0</f>
        <v>0</v>
      </c>
      <c r="C4" t="b">
        <f>COUNTIF(A:A,A4)&gt;1</f>
        <v>1</v>
      </c>
      <c r="D4" t="s">
        <v>22</v>
      </c>
      <c r="E4" t="b">
        <f>LEN(TRIM(D4))=0</f>
        <v>0</v>
      </c>
      <c r="F4" t="b">
        <f>EXACT(D4,PROPER(D4))</f>
        <v>1</v>
      </c>
      <c r="G4">
        <v>39</v>
      </c>
      <c r="H4" t="b">
        <f>LEN(TRIM(G4))=0</f>
        <v>0</v>
      </c>
      <c r="I4" t="s">
        <v>28</v>
      </c>
      <c r="J4" t="b">
        <f>EXACT(I4,PROPER(I4))</f>
        <v>1</v>
      </c>
      <c r="K4" t="s">
        <v>29</v>
      </c>
      <c r="L4" t="str">
        <f>TRIM(K4)</f>
        <v>Finance</v>
      </c>
      <c r="M4" t="b">
        <f>K4&lt;&gt;L4</f>
        <v>0</v>
      </c>
      <c r="O4" t="b">
        <f>LEN(TRIM(N4))=0</f>
        <v>1</v>
      </c>
      <c r="P4" t="b">
        <f>AND(N4&gt;0, N4&lt;1000000)</f>
        <v>0</v>
      </c>
      <c r="Q4" t="s">
        <v>27</v>
      </c>
      <c r="R4" s="2" t="b">
        <f>LEN(TRIM(Q4))=0</f>
        <v>0</v>
      </c>
      <c r="S4" s="2" t="str">
        <f>IF(RIGHT(TRIM(Q4),9)="gmail.com","OK","Typo")</f>
        <v>OK</v>
      </c>
      <c r="T4" s="2" t="str">
        <f>A4&amp;D4&amp;G4&amp;I4&amp;K4&amp;N4&amp;Q4</f>
        <v>AhmedMale39KarachiFinanceahmed13@gmail.com</v>
      </c>
      <c r="U4" s="2" t="b">
        <f>COUNTIF(T:T,T4)&gt;1</f>
        <v>0</v>
      </c>
    </row>
    <row r="5" spans="1:21">
      <c r="A5" t="s">
        <v>21</v>
      </c>
      <c r="B5" t="b">
        <f>LEN(TRIM(A5))=0</f>
        <v>0</v>
      </c>
      <c r="C5" t="b">
        <f>COUNTIF(A:A,A5)&gt;1</f>
        <v>1</v>
      </c>
      <c r="D5" t="s">
        <v>30</v>
      </c>
      <c r="E5" t="b">
        <f>LEN(TRIM(D5))=0</f>
        <v>0</v>
      </c>
      <c r="F5" t="b">
        <f>EXACT(D5,PROPER(D5))</f>
        <v>1</v>
      </c>
      <c r="G5">
        <v>45</v>
      </c>
      <c r="H5" t="b">
        <f>LEN(TRIM(G5))=0</f>
        <v>0</v>
      </c>
      <c r="I5" t="s">
        <v>31</v>
      </c>
      <c r="J5" t="b">
        <f>EXACT(I5,PROPER(I5))</f>
        <v>0</v>
      </c>
      <c r="K5" t="s">
        <v>24</v>
      </c>
      <c r="L5" t="str">
        <f>TRIM(K5)</f>
        <v>HR</v>
      </c>
      <c r="M5" t="b">
        <f>K5&lt;&gt;L5</f>
        <v>0</v>
      </c>
      <c r="O5" t="b">
        <f>LEN(TRIM(N5))=0</f>
        <v>1</v>
      </c>
      <c r="P5" t="b">
        <f>AND(N5&gt;0, N5&lt;1000000)</f>
        <v>0</v>
      </c>
      <c r="Q5" t="s">
        <v>27</v>
      </c>
      <c r="R5" s="2" t="b">
        <f>LEN(TRIM(Q5))=0</f>
        <v>0</v>
      </c>
      <c r="S5" s="2" t="str">
        <f>IF(RIGHT(TRIM(Q5),9)="gmail.com","OK","Typo")</f>
        <v>OK</v>
      </c>
      <c r="T5" s="2" t="str">
        <f>A5&amp;D5&amp;G5&amp;I5&amp;K5&amp;N5&amp;Q5</f>
        <v>AhmedFemale45quettaHRahmed13@gmail.com</v>
      </c>
      <c r="U5" s="2" t="b">
        <f>COUNTIF(T:T,T5)&gt;1</f>
        <v>0</v>
      </c>
    </row>
    <row r="6" spans="1:21">
      <c r="A6" t="s">
        <v>21</v>
      </c>
      <c r="B6" t="b">
        <f>LEN(TRIM(A6))=0</f>
        <v>0</v>
      </c>
      <c r="C6" t="b">
        <f>COUNTIF(A:A,A6)&gt;1</f>
        <v>1</v>
      </c>
      <c r="D6" t="s">
        <v>30</v>
      </c>
      <c r="E6" t="b">
        <f>LEN(TRIM(D6))=0</f>
        <v>0</v>
      </c>
      <c r="F6" t="b">
        <f>EXACT(D6,PROPER(D6))</f>
        <v>1</v>
      </c>
      <c r="H6" t="b">
        <f>LEN(TRIM(G6))=0</f>
        <v>1</v>
      </c>
      <c r="I6" t="s">
        <v>32</v>
      </c>
      <c r="J6" t="b">
        <f>EXACT(I6,PROPER(I6))</f>
        <v>1</v>
      </c>
      <c r="K6" t="s">
        <v>33</v>
      </c>
      <c r="L6" t="str">
        <f>TRIM(K6)</f>
        <v>IT</v>
      </c>
      <c r="M6" t="b">
        <f>K6&lt;&gt;L6</f>
        <v>1</v>
      </c>
      <c r="N6">
        <v>32295.439999999999</v>
      </c>
      <c r="O6" t="b">
        <f>LEN(TRIM(N6))=0</f>
        <v>0</v>
      </c>
      <c r="P6" t="b">
        <f>AND(N6&gt;0, N6&lt;1000000)</f>
        <v>1</v>
      </c>
      <c r="Q6" t="s">
        <v>34</v>
      </c>
      <c r="R6" s="2" t="b">
        <f>LEN(TRIM(Q6))=0</f>
        <v>0</v>
      </c>
      <c r="S6" s="2" t="str">
        <f>IF(RIGHT(TRIM(Q6),9)="gmail.com","OK","Typo")</f>
        <v>OK</v>
      </c>
      <c r="T6" s="2" t="str">
        <f>A6&amp;D6&amp;G6&amp;I6&amp;K6&amp;N6&amp;Q6</f>
        <v>AhmedFemaleLahore IT 32295.44ahmed14@gmail.com</v>
      </c>
      <c r="U6" s="2" t="b">
        <f>COUNTIF(T:T,T6)&gt;1</f>
        <v>0</v>
      </c>
    </row>
    <row r="7" spans="1:21">
      <c r="A7" t="s">
        <v>21</v>
      </c>
      <c r="B7" t="b">
        <f>LEN(TRIM(A7))=0</f>
        <v>0</v>
      </c>
      <c r="C7" t="b">
        <f>COUNTIF(A:A,A7)&gt;1</f>
        <v>1</v>
      </c>
      <c r="D7" t="s">
        <v>30</v>
      </c>
      <c r="E7" t="b">
        <f>LEN(TRIM(D7))=0</f>
        <v>0</v>
      </c>
      <c r="F7" t="b">
        <f>EXACT(D7,PROPER(D7))</f>
        <v>1</v>
      </c>
      <c r="H7" t="b">
        <f>LEN(TRIM(G7))=0</f>
        <v>1</v>
      </c>
      <c r="I7" t="s">
        <v>32</v>
      </c>
      <c r="J7" t="b">
        <f>EXACT(I7,PROPER(I7))</f>
        <v>1</v>
      </c>
      <c r="K7" t="s">
        <v>35</v>
      </c>
      <c r="L7" t="str">
        <f>TRIM(K7)</f>
        <v>Marketing</v>
      </c>
      <c r="M7" t="b">
        <f>K7&lt;&gt;L7</f>
        <v>0</v>
      </c>
      <c r="O7" t="b">
        <f>LEN(TRIM(N7))=0</f>
        <v>1</v>
      </c>
      <c r="P7" t="b">
        <f>AND(N7&gt;0, N7&lt;1000000)</f>
        <v>0</v>
      </c>
      <c r="Q7" t="s">
        <v>36</v>
      </c>
      <c r="R7" s="2" t="b">
        <f>LEN(TRIM(Q7))=0</f>
        <v>0</v>
      </c>
      <c r="S7" s="2" t="str">
        <f>IF(RIGHT(TRIM(Q7),9)="gmail.com","OK","Typo")</f>
        <v>OK</v>
      </c>
      <c r="T7" s="2" t="str">
        <f>A7&amp;D7&amp;G7&amp;I7&amp;K7&amp;N7&amp;Q7</f>
        <v>AhmedFemaleLahoreMarketingahmed15@gmail.com</v>
      </c>
      <c r="U7" s="2" t="b">
        <f>COUNTIF(T:T,T7)&gt;1</f>
        <v>0</v>
      </c>
    </row>
    <row r="8" spans="1:21">
      <c r="A8" t="s">
        <v>21</v>
      </c>
      <c r="B8" t="b">
        <f>LEN(TRIM(A8))=0</f>
        <v>0</v>
      </c>
      <c r="C8" t="b">
        <f>COUNTIF(A:A,A8)&gt;1</f>
        <v>1</v>
      </c>
      <c r="D8" t="s">
        <v>22</v>
      </c>
      <c r="E8" t="b">
        <f>LEN(TRIM(D8))=0</f>
        <v>0</v>
      </c>
      <c r="F8" t="b">
        <f>EXACT(D8,PROPER(D8))</f>
        <v>1</v>
      </c>
      <c r="G8">
        <v>22</v>
      </c>
      <c r="H8" t="b">
        <f>LEN(TRIM(G8))=0</f>
        <v>0</v>
      </c>
      <c r="I8" t="s">
        <v>37</v>
      </c>
      <c r="J8" t="b">
        <f>EXACT(I8,PROPER(I8))</f>
        <v>1</v>
      </c>
      <c r="K8" t="s">
        <v>38</v>
      </c>
      <c r="L8" t="str">
        <f>TRIM(K8)</f>
        <v>Sales</v>
      </c>
      <c r="M8" t="b">
        <f>K8&lt;&gt;L8</f>
        <v>0</v>
      </c>
      <c r="O8" t="b">
        <f>LEN(TRIM(N8))=0</f>
        <v>1</v>
      </c>
      <c r="P8" t="b">
        <f>AND(N8&gt;0, N8&lt;1000000)</f>
        <v>0</v>
      </c>
      <c r="Q8" t="s">
        <v>39</v>
      </c>
      <c r="R8" s="2" t="b">
        <f>LEN(TRIM(Q8))=0</f>
        <v>0</v>
      </c>
      <c r="S8" s="2" t="str">
        <f>IF(RIGHT(TRIM(Q8),9)="gmail.com","OK","Typo")</f>
        <v>OK</v>
      </c>
      <c r="T8" s="2" t="str">
        <f>A8&amp;D8&amp;G8&amp;I8&amp;K8&amp;N8&amp;Q8</f>
        <v>AhmedMale22IslamabadSalesahmed19@gmail.com</v>
      </c>
      <c r="U8" s="2" t="b">
        <f>COUNTIF(T:T,T8)&gt;1</f>
        <v>0</v>
      </c>
    </row>
    <row r="9" spans="1:21">
      <c r="A9" t="s">
        <v>21</v>
      </c>
      <c r="B9" t="b">
        <f>LEN(TRIM(A9))=0</f>
        <v>0</v>
      </c>
      <c r="C9" t="b">
        <f>COUNTIF(A:A,A9)&gt;1</f>
        <v>1</v>
      </c>
      <c r="D9" t="s">
        <v>30</v>
      </c>
      <c r="E9" t="b">
        <f>LEN(TRIM(D9))=0</f>
        <v>0</v>
      </c>
      <c r="F9" t="b">
        <f>EXACT(D9,PROPER(D9))</f>
        <v>1</v>
      </c>
      <c r="H9" t="b">
        <f>LEN(TRIM(G9))=0</f>
        <v>1</v>
      </c>
      <c r="I9" t="s">
        <v>32</v>
      </c>
      <c r="J9" t="b">
        <f>EXACT(I9,PROPER(I9))</f>
        <v>1</v>
      </c>
      <c r="K9" t="s">
        <v>24</v>
      </c>
      <c r="L9" t="str">
        <f>TRIM(K9)</f>
        <v>HR</v>
      </c>
      <c r="M9" t="b">
        <f>K9&lt;&gt;L9</f>
        <v>0</v>
      </c>
      <c r="N9">
        <v>31385.360000000001</v>
      </c>
      <c r="O9" t="b">
        <f>LEN(TRIM(N9))=0</f>
        <v>0</v>
      </c>
      <c r="P9" t="b">
        <f>AND(N9&gt;0, N9&lt;1000000)</f>
        <v>1</v>
      </c>
      <c r="Q9" t="s">
        <v>40</v>
      </c>
      <c r="R9" s="2" t="b">
        <f>LEN(TRIM(Q9))=0</f>
        <v>0</v>
      </c>
      <c r="S9" s="2" t="str">
        <f>IF(RIGHT(TRIM(Q9),9)="gmail.com","OK","Typo")</f>
        <v>OK</v>
      </c>
      <c r="T9" s="2" t="str">
        <f>A9&amp;D9&amp;G9&amp;I9&amp;K9&amp;N9&amp;Q9</f>
        <v>AhmedFemaleLahoreHR31385.36ahmed2@gmail.com</v>
      </c>
      <c r="U9" s="2" t="b">
        <f>COUNTIF(T:T,T9)&gt;1</f>
        <v>0</v>
      </c>
    </row>
    <row r="10" spans="1:21">
      <c r="A10" t="s">
        <v>21</v>
      </c>
      <c r="B10" t="b">
        <f>LEN(TRIM(A10))=0</f>
        <v>0</v>
      </c>
      <c r="C10" t="b">
        <f>COUNTIF(A:A,A10)&gt;1</f>
        <v>1</v>
      </c>
      <c r="D10" t="s">
        <v>30</v>
      </c>
      <c r="E10" t="b">
        <f>LEN(TRIM(D10))=0</f>
        <v>0</v>
      </c>
      <c r="F10" t="b">
        <f>EXACT(D10,PROPER(D10))</f>
        <v>1</v>
      </c>
      <c r="G10">
        <v>52</v>
      </c>
      <c r="H10" t="b">
        <f>LEN(TRIM(G10))=0</f>
        <v>0</v>
      </c>
      <c r="I10" t="s">
        <v>31</v>
      </c>
      <c r="J10" t="b">
        <f>EXACT(I10,PROPER(I10))</f>
        <v>0</v>
      </c>
      <c r="K10" t="s">
        <v>29</v>
      </c>
      <c r="L10" t="str">
        <f>TRIM(K10)</f>
        <v>Finance</v>
      </c>
      <c r="M10" t="b">
        <f>K10&lt;&gt;L10</f>
        <v>0</v>
      </c>
      <c r="O10" t="b">
        <f>LEN(TRIM(N10))=0</f>
        <v>1</v>
      </c>
      <c r="P10" t="b">
        <f>AND(N10&gt;0, N10&lt;1000000)</f>
        <v>0</v>
      </c>
      <c r="Q10" t="s">
        <v>40</v>
      </c>
      <c r="R10" s="2" t="b">
        <f>LEN(TRIM(Q10))=0</f>
        <v>0</v>
      </c>
      <c r="S10" s="2" t="str">
        <f>IF(RIGHT(TRIM(Q10),9)="gmail.com","OK","Typo")</f>
        <v>OK</v>
      </c>
      <c r="T10" s="2" t="str">
        <f>A10&amp;D10&amp;G10&amp;I10&amp;K10&amp;N10&amp;Q10</f>
        <v>AhmedFemale52quettaFinanceahmed2@gmail.com</v>
      </c>
      <c r="U10" s="2" t="b">
        <f>COUNTIF(T:T,T10)&gt;1</f>
        <v>0</v>
      </c>
    </row>
    <row r="11" spans="1:21">
      <c r="A11" t="s">
        <v>21</v>
      </c>
      <c r="B11" t="b">
        <f>LEN(TRIM(A11))=0</f>
        <v>0</v>
      </c>
      <c r="C11" t="b">
        <f>COUNTIF(A:A,A11)&gt;1</f>
        <v>1</v>
      </c>
      <c r="D11" t="s">
        <v>22</v>
      </c>
      <c r="E11" t="b">
        <f>LEN(TRIM(D11))=0</f>
        <v>0</v>
      </c>
      <c r="F11" t="b">
        <f>EXACT(D11,PROPER(D11))</f>
        <v>1</v>
      </c>
      <c r="H11" t="b">
        <f>LEN(TRIM(G11))=0</f>
        <v>1</v>
      </c>
      <c r="I11" t="s">
        <v>23</v>
      </c>
      <c r="J11" t="b">
        <f>EXACT(I11,PROPER(I11))</f>
        <v>1</v>
      </c>
      <c r="K11" t="s">
        <v>38</v>
      </c>
      <c r="L11" t="str">
        <f>TRIM(K11)</f>
        <v>Sales</v>
      </c>
      <c r="M11" t="b">
        <f>K11&lt;&gt;L11</f>
        <v>0</v>
      </c>
      <c r="O11" t="b">
        <f>LEN(TRIM(N11))=0</f>
        <v>1</v>
      </c>
      <c r="P11" t="b">
        <f>AND(N11&gt;0, N11&lt;1000000)</f>
        <v>0</v>
      </c>
      <c r="Q11" t="s">
        <v>41</v>
      </c>
      <c r="R11" s="2" t="b">
        <f>LEN(TRIM(Q11))=0</f>
        <v>0</v>
      </c>
      <c r="S11" s="2" t="str">
        <f>IF(RIGHT(TRIM(Q11),9)="gmail.com","OK","Typo")</f>
        <v>OK</v>
      </c>
      <c r="T11" s="2" t="str">
        <f>A11&amp;D11&amp;G11&amp;I11&amp;K11&amp;N11&amp;Q11</f>
        <v>AhmedMaleQuettaSalesahmed22@gmail.com</v>
      </c>
      <c r="U11" s="2" t="b">
        <f>COUNTIF(T:T,T11)&gt;1</f>
        <v>0</v>
      </c>
    </row>
    <row r="12" spans="1:21">
      <c r="A12" t="s">
        <v>21</v>
      </c>
      <c r="B12" t="b">
        <f>LEN(TRIM(A12))=0</f>
        <v>0</v>
      </c>
      <c r="C12" t="b">
        <f>COUNTIF(A:A,A12)&gt;1</f>
        <v>1</v>
      </c>
      <c r="D12" t="s">
        <v>30</v>
      </c>
      <c r="E12" t="b">
        <f>LEN(TRIM(D12))=0</f>
        <v>0</v>
      </c>
      <c r="F12" t="b">
        <f>EXACT(D12,PROPER(D12))</f>
        <v>1</v>
      </c>
      <c r="H12" t="b">
        <f>LEN(TRIM(G12))=0</f>
        <v>1</v>
      </c>
      <c r="I12" t="s">
        <v>28</v>
      </c>
      <c r="J12" t="b">
        <f>EXACT(I12,PROPER(I12))</f>
        <v>1</v>
      </c>
      <c r="K12" t="s">
        <v>42</v>
      </c>
      <c r="L12" t="str">
        <f>TRIM(K12)</f>
        <v>IT</v>
      </c>
      <c r="M12" t="b">
        <f>K12&lt;&gt;L12</f>
        <v>0</v>
      </c>
      <c r="N12">
        <v>108598.18</v>
      </c>
      <c r="O12" t="b">
        <f>LEN(TRIM(N12))=0</f>
        <v>0</v>
      </c>
      <c r="P12" t="b">
        <f>AND(N12&gt;0, N12&lt;1000000)</f>
        <v>1</v>
      </c>
      <c r="Q12" t="s">
        <v>43</v>
      </c>
      <c r="R12" s="2" t="b">
        <f>LEN(TRIM(Q12))=0</f>
        <v>0</v>
      </c>
      <c r="S12" s="2" t="str">
        <f>IF(RIGHT(TRIM(Q12),9)="gmail.com","OK","Typo")</f>
        <v>OK</v>
      </c>
      <c r="T12" s="2" t="str">
        <f>A12&amp;D12&amp;G12&amp;I12&amp;K12&amp;N12&amp;Q12</f>
        <v>AhmedFemaleKarachiIT108598.18ahmed24@gmail.com</v>
      </c>
      <c r="U12" s="2" t="b">
        <f>COUNTIF(T:T,T12)&gt;1</f>
        <v>0</v>
      </c>
    </row>
    <row r="13" spans="1:21">
      <c r="A13" t="s">
        <v>21</v>
      </c>
      <c r="B13" t="b">
        <f>LEN(TRIM(A13))=0</f>
        <v>0</v>
      </c>
      <c r="C13" t="b">
        <f>COUNTIF(A:A,A13)&gt;1</f>
        <v>1</v>
      </c>
      <c r="D13" t="s">
        <v>22</v>
      </c>
      <c r="E13" t="b">
        <f>LEN(TRIM(D13))=0</f>
        <v>0</v>
      </c>
      <c r="F13" t="b">
        <f>EXACT(D13,PROPER(D13))</f>
        <v>1</v>
      </c>
      <c r="G13">
        <v>58</v>
      </c>
      <c r="H13" t="b">
        <f>LEN(TRIM(G13))=0</f>
        <v>0</v>
      </c>
      <c r="I13" t="s">
        <v>37</v>
      </c>
      <c r="J13" t="b">
        <f>EXACT(I13,PROPER(I13))</f>
        <v>1</v>
      </c>
      <c r="K13" t="s">
        <v>24</v>
      </c>
      <c r="L13" t="str">
        <f>TRIM(K13)</f>
        <v>HR</v>
      </c>
      <c r="M13" t="b">
        <f>K13&lt;&gt;L13</f>
        <v>0</v>
      </c>
      <c r="O13" t="b">
        <f>LEN(TRIM(N13))=0</f>
        <v>1</v>
      </c>
      <c r="P13" t="b">
        <f>AND(N13&gt;0, N13&lt;1000000)</f>
        <v>0</v>
      </c>
      <c r="Q13" t="s">
        <v>44</v>
      </c>
      <c r="R13" s="2" t="b">
        <f>LEN(TRIM(Q13))=0</f>
        <v>0</v>
      </c>
      <c r="S13" s="2" t="str">
        <f>IF(RIGHT(TRIM(Q13),9)="gmail.com","OK","Typo")</f>
        <v>OK</v>
      </c>
      <c r="T13" s="2" t="str">
        <f>A13&amp;D13&amp;G13&amp;I13&amp;K13&amp;N13&amp;Q13</f>
        <v>AhmedMale58IslamabadHRahmed25@gmail.com</v>
      </c>
      <c r="U13" s="2" t="b">
        <f>COUNTIF(T:T,T13)&gt;1</f>
        <v>0</v>
      </c>
    </row>
    <row r="14" spans="1:21">
      <c r="A14" t="s">
        <v>21</v>
      </c>
      <c r="B14" t="b">
        <f>LEN(TRIM(A14))=0</f>
        <v>0</v>
      </c>
      <c r="C14" t="b">
        <f>COUNTIF(A:A,A14)&gt;1</f>
        <v>1</v>
      </c>
      <c r="D14" t="s">
        <v>30</v>
      </c>
      <c r="E14" t="b">
        <f>LEN(TRIM(D14))=0</f>
        <v>0</v>
      </c>
      <c r="F14" t="b">
        <f>EXACT(D14,PROPER(D14))</f>
        <v>1</v>
      </c>
      <c r="H14" t="b">
        <f>LEN(TRIM(G14))=0</f>
        <v>1</v>
      </c>
      <c r="I14" t="s">
        <v>45</v>
      </c>
      <c r="J14" t="b">
        <f>EXACT(I14,PROPER(I14))</f>
        <v>1</v>
      </c>
      <c r="K14" t="s">
        <v>42</v>
      </c>
      <c r="L14" t="str">
        <f>TRIM(K14)</f>
        <v>IT</v>
      </c>
      <c r="M14" t="b">
        <f>K14&lt;&gt;L14</f>
        <v>0</v>
      </c>
      <c r="N14">
        <v>76757.759999999995</v>
      </c>
      <c r="O14" t="b">
        <f>LEN(TRIM(N14))=0</f>
        <v>0</v>
      </c>
      <c r="P14" t="b">
        <f>AND(N14&gt;0, N14&lt;1000000)</f>
        <v>1</v>
      </c>
      <c r="Q14" t="s">
        <v>46</v>
      </c>
      <c r="R14" s="2" t="b">
        <f>LEN(TRIM(Q14))=0</f>
        <v>0</v>
      </c>
      <c r="S14" s="2" t="str">
        <f>IF(RIGHT(TRIM(Q14),9)="gmail.com","OK","Typo")</f>
        <v>OK</v>
      </c>
      <c r="T14" s="2" t="str">
        <f>A14&amp;D14&amp;G14&amp;I14&amp;K14&amp;N14&amp;Q14</f>
        <v>AhmedFemalePeshawarIT76757.76ahmed26@gmail.com</v>
      </c>
      <c r="U14" s="2" t="b">
        <f>COUNTIF(T:T,T14)&gt;1</f>
        <v>0</v>
      </c>
    </row>
    <row r="15" spans="1:21">
      <c r="A15" t="s">
        <v>21</v>
      </c>
      <c r="B15" t="b">
        <f>LEN(TRIM(A15))=0</f>
        <v>0</v>
      </c>
      <c r="C15" t="b">
        <f>COUNTIF(A:A,A15)&gt;1</f>
        <v>1</v>
      </c>
      <c r="D15" t="s">
        <v>22</v>
      </c>
      <c r="E15" t="b">
        <f>LEN(TRIM(D15))=0</f>
        <v>0</v>
      </c>
      <c r="F15" t="b">
        <f>EXACT(D15,PROPER(D15))</f>
        <v>1</v>
      </c>
      <c r="H15" t="b">
        <f>LEN(TRIM(G15))=0</f>
        <v>1</v>
      </c>
      <c r="I15" t="s">
        <v>28</v>
      </c>
      <c r="J15" t="b">
        <f>EXACT(I15,PROPER(I15))</f>
        <v>1</v>
      </c>
      <c r="K15" t="s">
        <v>47</v>
      </c>
      <c r="L15" t="str">
        <f>TRIM(K15)</f>
        <v>Sales</v>
      </c>
      <c r="M15" t="b">
        <f>K15&lt;&gt;L15</f>
        <v>1</v>
      </c>
      <c r="O15" t="b">
        <f>LEN(TRIM(N15))=0</f>
        <v>1</v>
      </c>
      <c r="P15" t="b">
        <f>AND(N15&gt;0, N15&lt;1000000)</f>
        <v>0</v>
      </c>
      <c r="Q15" t="s">
        <v>48</v>
      </c>
      <c r="R15" s="2" t="b">
        <f>LEN(TRIM(Q15))=0</f>
        <v>0</v>
      </c>
      <c r="S15" s="2" t="str">
        <f>IF(RIGHT(TRIM(Q15),9)="gmail.com","OK","Typo")</f>
        <v>OK</v>
      </c>
      <c r="T15" s="2" t="str">
        <f>A15&amp;D15&amp;G15&amp;I15&amp;K15&amp;N15&amp;Q15</f>
        <v>AhmedMaleKarachi Sales ahmed32@gmail.com</v>
      </c>
      <c r="U15" s="2" t="b">
        <f>COUNTIF(T:T,T15)&gt;1</f>
        <v>0</v>
      </c>
    </row>
    <row r="16" spans="1:21">
      <c r="A16" t="s">
        <v>21</v>
      </c>
      <c r="B16" t="b">
        <f>LEN(TRIM(A16))=0</f>
        <v>0</v>
      </c>
      <c r="C16" t="b">
        <f>COUNTIF(A:A,A16)&gt;1</f>
        <v>1</v>
      </c>
      <c r="D16" t="s">
        <v>22</v>
      </c>
      <c r="E16" t="b">
        <f>LEN(TRIM(D16))=0</f>
        <v>0</v>
      </c>
      <c r="F16" t="b">
        <f>EXACT(D16,PROPER(D16))</f>
        <v>1</v>
      </c>
      <c r="H16" t="b">
        <f>LEN(TRIM(G16))=0</f>
        <v>1</v>
      </c>
      <c r="I16" t="s">
        <v>23</v>
      </c>
      <c r="J16" t="b">
        <f>EXACT(I16,PROPER(I16))</f>
        <v>1</v>
      </c>
      <c r="K16" t="s">
        <v>29</v>
      </c>
      <c r="L16" t="str">
        <f>TRIM(K16)</f>
        <v>Finance</v>
      </c>
      <c r="M16" t="b">
        <f>K16&lt;&gt;L16</f>
        <v>0</v>
      </c>
      <c r="N16">
        <v>50115.7</v>
      </c>
      <c r="O16" t="b">
        <f>LEN(TRIM(N16))=0</f>
        <v>0</v>
      </c>
      <c r="P16" t="b">
        <f>AND(N16&gt;0, N16&lt;1000000)</f>
        <v>1</v>
      </c>
      <c r="Q16" t="s">
        <v>49</v>
      </c>
      <c r="R16" s="2" t="b">
        <f>LEN(TRIM(Q16))=0</f>
        <v>0</v>
      </c>
      <c r="S16" s="2" t="str">
        <f>IF(RIGHT(TRIM(Q16),9)="gmail.com","OK","Typo")</f>
        <v>OK</v>
      </c>
      <c r="T16" s="2" t="str">
        <f>A16&amp;D16&amp;G16&amp;I16&amp;K16&amp;N16&amp;Q16</f>
        <v>AhmedMaleQuettaFinance50115.7ahmed33@gmail.com</v>
      </c>
      <c r="U16" s="2" t="b">
        <f>COUNTIF(T:T,T16)&gt;1</f>
        <v>0</v>
      </c>
    </row>
    <row r="17" spans="1:21">
      <c r="A17" t="s">
        <v>21</v>
      </c>
      <c r="B17" t="b">
        <f>LEN(TRIM(A17))=0</f>
        <v>0</v>
      </c>
      <c r="C17" t="b">
        <f>COUNTIF(A:A,A17)&gt;1</f>
        <v>1</v>
      </c>
      <c r="D17" t="s">
        <v>30</v>
      </c>
      <c r="E17" t="b">
        <f>LEN(TRIM(D17))=0</f>
        <v>0</v>
      </c>
      <c r="F17" t="b">
        <f>EXACT(D17,PROPER(D17))</f>
        <v>1</v>
      </c>
      <c r="H17" t="b">
        <f>LEN(TRIM(G17))=0</f>
        <v>1</v>
      </c>
      <c r="I17" t="s">
        <v>28</v>
      </c>
      <c r="J17" t="b">
        <f>EXACT(I17,PROPER(I17))</f>
        <v>1</v>
      </c>
      <c r="K17" t="s">
        <v>29</v>
      </c>
      <c r="L17" t="str">
        <f>TRIM(K17)</f>
        <v>Finance</v>
      </c>
      <c r="M17" t="b">
        <f>K17&lt;&gt;L17</f>
        <v>0</v>
      </c>
      <c r="N17">
        <v>66444.490000000005</v>
      </c>
      <c r="O17" t="b">
        <f>LEN(TRIM(N17))=0</f>
        <v>0</v>
      </c>
      <c r="P17" t="b">
        <f>AND(N17&gt;0, N17&lt;1000000)</f>
        <v>1</v>
      </c>
      <c r="Q17" t="s">
        <v>50</v>
      </c>
      <c r="R17" s="2" t="b">
        <f>LEN(TRIM(Q17))=0</f>
        <v>0</v>
      </c>
      <c r="S17" s="2" t="str">
        <f>IF(RIGHT(TRIM(Q17),9)="gmail.com","OK","Typo")</f>
        <v>OK</v>
      </c>
      <c r="T17" s="2" t="str">
        <f>A17&amp;D17&amp;G17&amp;I17&amp;K17&amp;N17&amp;Q17</f>
        <v>AhmedFemaleKarachiFinance66444.49ahmed34@gmail.com</v>
      </c>
      <c r="U17" s="2" t="b">
        <f>COUNTIF(T:T,T17)&gt;1</f>
        <v>0</v>
      </c>
    </row>
    <row r="18" spans="1:21">
      <c r="A18" t="s">
        <v>21</v>
      </c>
      <c r="B18" t="b">
        <f>LEN(TRIM(A18))=0</f>
        <v>0</v>
      </c>
      <c r="C18" t="b">
        <f>COUNTIF(A:A,A18)&gt;1</f>
        <v>1</v>
      </c>
      <c r="D18" t="s">
        <v>30</v>
      </c>
      <c r="E18" t="b">
        <f>LEN(TRIM(D18))=0</f>
        <v>0</v>
      </c>
      <c r="F18" t="b">
        <f>EXACT(D18,PROPER(D18))</f>
        <v>1</v>
      </c>
      <c r="G18">
        <v>33</v>
      </c>
      <c r="H18" t="b">
        <f>LEN(TRIM(G18))=0</f>
        <v>0</v>
      </c>
      <c r="I18" t="s">
        <v>32</v>
      </c>
      <c r="J18" t="b">
        <f>EXACT(I18,PROPER(I18))</f>
        <v>1</v>
      </c>
      <c r="K18" t="s">
        <v>38</v>
      </c>
      <c r="L18" t="str">
        <f>TRIM(K18)</f>
        <v>Sales</v>
      </c>
      <c r="M18" t="b">
        <f>K18&lt;&gt;L18</f>
        <v>0</v>
      </c>
      <c r="N18">
        <v>61389.91</v>
      </c>
      <c r="O18" t="b">
        <f>LEN(TRIM(N18))=0</f>
        <v>0</v>
      </c>
      <c r="P18" t="b">
        <f>AND(N18&gt;0, N18&lt;1000000)</f>
        <v>1</v>
      </c>
      <c r="Q18" t="s">
        <v>51</v>
      </c>
      <c r="R18" s="2" t="b">
        <f>LEN(TRIM(Q18))=0</f>
        <v>0</v>
      </c>
      <c r="S18" s="2" t="str">
        <f>IF(RIGHT(TRIM(Q18),9)="gmail.com","OK","Typo")</f>
        <v>OK</v>
      </c>
      <c r="T18" s="2" t="str">
        <f>A18&amp;D18&amp;G18&amp;I18&amp;K18&amp;N18&amp;Q18</f>
        <v>AhmedFemale33LahoreSales61389.91ahmed35@gmail.com</v>
      </c>
      <c r="U18" s="2" t="b">
        <f>COUNTIF(T:T,T18)&gt;1</f>
        <v>0</v>
      </c>
    </row>
    <row r="19" spans="1:21">
      <c r="A19" t="s">
        <v>21</v>
      </c>
      <c r="B19" t="b">
        <f>LEN(TRIM(A19))=0</f>
        <v>0</v>
      </c>
      <c r="C19" t="b">
        <f>COUNTIF(A:A,A19)&gt;1</f>
        <v>1</v>
      </c>
      <c r="D19" t="s">
        <v>22</v>
      </c>
      <c r="E19" t="b">
        <f>LEN(TRIM(D19))=0</f>
        <v>0</v>
      </c>
      <c r="F19" t="b">
        <f>EXACT(D19,PROPER(D19))</f>
        <v>1</v>
      </c>
      <c r="G19">
        <v>41</v>
      </c>
      <c r="H19" t="b">
        <f>LEN(TRIM(G19))=0</f>
        <v>0</v>
      </c>
      <c r="I19" t="s">
        <v>52</v>
      </c>
      <c r="J19" t="b">
        <f>EXACT(I19,PROPER(I19))</f>
        <v>0</v>
      </c>
      <c r="K19" t="s">
        <v>24</v>
      </c>
      <c r="L19" t="str">
        <f>TRIM(K19)</f>
        <v>HR</v>
      </c>
      <c r="M19" t="b">
        <f>K19&lt;&gt;L19</f>
        <v>0</v>
      </c>
      <c r="N19">
        <v>45509.71</v>
      </c>
      <c r="O19" t="b">
        <f>LEN(TRIM(N19))=0</f>
        <v>0</v>
      </c>
      <c r="P19" t="b">
        <f>AND(N19&gt;0, N19&lt;1000000)</f>
        <v>1</v>
      </c>
      <c r="Q19" t="s">
        <v>51</v>
      </c>
      <c r="R19" s="2" t="b">
        <f>LEN(TRIM(Q19))=0</f>
        <v>0</v>
      </c>
      <c r="S19" s="2" t="str">
        <f>IF(RIGHT(TRIM(Q19),9)="gmail.com","OK","Typo")</f>
        <v>OK</v>
      </c>
      <c r="T19" s="2" t="str">
        <f>A19&amp;D19&amp;G19&amp;I19&amp;K19&amp;N19&amp;Q19</f>
        <v>AhmedMale41lahoreHR45509.71ahmed35@gmail.com</v>
      </c>
      <c r="U19" s="2" t="b">
        <f>COUNTIF(T:T,T19)&gt;1</f>
        <v>0</v>
      </c>
    </row>
    <row r="20" spans="1:21">
      <c r="A20" t="s">
        <v>21</v>
      </c>
      <c r="B20" t="b">
        <f>LEN(TRIM(A20))=0</f>
        <v>0</v>
      </c>
      <c r="C20" t="b">
        <f>COUNTIF(A:A,A20)&gt;1</f>
        <v>1</v>
      </c>
      <c r="D20" t="s">
        <v>22</v>
      </c>
      <c r="E20" t="b">
        <f>LEN(TRIM(D20))=0</f>
        <v>0</v>
      </c>
      <c r="F20" t="b">
        <f>EXACT(D20,PROPER(D20))</f>
        <v>1</v>
      </c>
      <c r="G20">
        <v>41</v>
      </c>
      <c r="H20" t="b">
        <f>LEN(TRIM(G20))=0</f>
        <v>0</v>
      </c>
      <c r="I20" t="s">
        <v>32</v>
      </c>
      <c r="J20" t="b">
        <f>EXACT(I20,PROPER(I20))</f>
        <v>1</v>
      </c>
      <c r="K20" t="s">
        <v>29</v>
      </c>
      <c r="L20" t="str">
        <f>TRIM(K20)</f>
        <v>Finance</v>
      </c>
      <c r="M20" t="b">
        <f>K20&lt;&gt;L20</f>
        <v>0</v>
      </c>
      <c r="O20" t="b">
        <f>LEN(TRIM(N20))=0</f>
        <v>1</v>
      </c>
      <c r="P20" t="b">
        <f>AND(N20&gt;0, N20&lt;1000000)</f>
        <v>0</v>
      </c>
      <c r="Q20" t="s">
        <v>53</v>
      </c>
      <c r="R20" s="2" t="b">
        <f>LEN(TRIM(Q20))=0</f>
        <v>0</v>
      </c>
      <c r="S20" s="2" t="str">
        <f>IF(RIGHT(TRIM(Q20),9)="gmail.com","OK","Typo")</f>
        <v>OK</v>
      </c>
      <c r="T20" s="2" t="str">
        <f>A20&amp;D20&amp;G20&amp;I20&amp;K20&amp;N20&amp;Q20</f>
        <v>AhmedMale41LahoreFinanceahmed39@gmail.com</v>
      </c>
      <c r="U20" s="2" t="b">
        <f>COUNTIF(T:T,T20)&gt;1</f>
        <v>0</v>
      </c>
    </row>
    <row r="21" spans="1:21">
      <c r="A21" t="s">
        <v>21</v>
      </c>
      <c r="B21" t="b">
        <f>LEN(TRIM(A21))=0</f>
        <v>0</v>
      </c>
      <c r="C21" t="b">
        <f>COUNTIF(A:A,A21)&gt;1</f>
        <v>1</v>
      </c>
      <c r="D21" t="s">
        <v>30</v>
      </c>
      <c r="E21" t="b">
        <f>LEN(TRIM(D21))=0</f>
        <v>0</v>
      </c>
      <c r="F21" t="b">
        <f>EXACT(D21,PROPER(D21))</f>
        <v>1</v>
      </c>
      <c r="H21" t="b">
        <f>LEN(TRIM(G21))=0</f>
        <v>1</v>
      </c>
      <c r="I21" t="s">
        <v>23</v>
      </c>
      <c r="J21" t="b">
        <f>EXACT(I21,PROPER(I21))</f>
        <v>1</v>
      </c>
      <c r="K21" t="s">
        <v>38</v>
      </c>
      <c r="L21" t="str">
        <f>TRIM(K21)</f>
        <v>Sales</v>
      </c>
      <c r="M21" t="b">
        <f>K21&lt;&gt;L21</f>
        <v>0</v>
      </c>
      <c r="O21" t="b">
        <f>LEN(TRIM(N21))=0</f>
        <v>1</v>
      </c>
      <c r="P21" t="b">
        <f>AND(N21&gt;0, N21&lt;1000000)</f>
        <v>0</v>
      </c>
      <c r="Q21" t="s">
        <v>54</v>
      </c>
      <c r="R21" s="2" t="b">
        <f>LEN(TRIM(Q21))=0</f>
        <v>0</v>
      </c>
      <c r="S21" s="2" t="str">
        <f>IF(RIGHT(TRIM(Q21),9)="gmail.com","OK","Typo")</f>
        <v>OK</v>
      </c>
      <c r="T21" s="2" t="str">
        <f>A21&amp;D21&amp;G21&amp;I21&amp;K21&amp;N21&amp;Q21</f>
        <v>AhmedFemaleQuettaSalesahmed40@gmail.com</v>
      </c>
      <c r="U21" s="2" t="b">
        <f>COUNTIF(T:T,T21)&gt;1</f>
        <v>0</v>
      </c>
    </row>
    <row r="22" spans="1:21">
      <c r="A22" t="s">
        <v>21</v>
      </c>
      <c r="B22" t="b">
        <f>LEN(TRIM(A22))=0</f>
        <v>0</v>
      </c>
      <c r="C22" t="b">
        <f>COUNTIF(A:A,A22)&gt;1</f>
        <v>1</v>
      </c>
      <c r="D22" t="s">
        <v>30</v>
      </c>
      <c r="E22" t="b">
        <f>LEN(TRIM(D22))=0</f>
        <v>0</v>
      </c>
      <c r="F22" t="b">
        <f>EXACT(D22,PROPER(D22))</f>
        <v>1</v>
      </c>
      <c r="H22" t="b">
        <f>LEN(TRIM(G22))=0</f>
        <v>1</v>
      </c>
      <c r="I22" t="s">
        <v>28</v>
      </c>
      <c r="J22" t="b">
        <f>EXACT(I22,PROPER(I22))</f>
        <v>1</v>
      </c>
      <c r="K22" t="s">
        <v>47</v>
      </c>
      <c r="L22" t="str">
        <f>TRIM(K22)</f>
        <v>Sales</v>
      </c>
      <c r="M22" t="b">
        <f>K22&lt;&gt;L22</f>
        <v>1</v>
      </c>
      <c r="N22">
        <v>77193.27</v>
      </c>
      <c r="O22" t="b">
        <f>LEN(TRIM(N22))=0</f>
        <v>0</v>
      </c>
      <c r="P22" t="b">
        <f>AND(N22&gt;0, N22&lt;1000000)</f>
        <v>1</v>
      </c>
      <c r="Q22" t="s">
        <v>55</v>
      </c>
      <c r="R22" s="2" t="b">
        <f>LEN(TRIM(Q22))=0</f>
        <v>0</v>
      </c>
      <c r="S22" s="2" t="str">
        <f>IF(RIGHT(TRIM(Q22),9)="gmail.com","OK","Typo")</f>
        <v>OK</v>
      </c>
      <c r="T22" s="2" t="str">
        <f>A22&amp;D22&amp;G22&amp;I22&amp;K22&amp;N22&amp;Q22</f>
        <v>AhmedFemaleKarachi Sales 77193.27ahmed41@gmail.com</v>
      </c>
      <c r="U22" s="2" t="b">
        <f>COUNTIF(T:T,T22)&gt;1</f>
        <v>0</v>
      </c>
    </row>
    <row r="23" spans="1:21">
      <c r="A23" t="s">
        <v>21</v>
      </c>
      <c r="B23" t="b">
        <f>LEN(TRIM(A23))=0</f>
        <v>0</v>
      </c>
      <c r="C23" t="b">
        <f>COUNTIF(A:A,A23)&gt;1</f>
        <v>1</v>
      </c>
      <c r="D23" t="s">
        <v>30</v>
      </c>
      <c r="E23" t="b">
        <f>LEN(TRIM(D23))=0</f>
        <v>0</v>
      </c>
      <c r="F23" t="b">
        <f>EXACT(D23,PROPER(D23))</f>
        <v>1</v>
      </c>
      <c r="H23" t="b">
        <f>LEN(TRIM(G23))=0</f>
        <v>1</v>
      </c>
      <c r="I23" t="s">
        <v>28</v>
      </c>
      <c r="J23" t="b">
        <f>EXACT(I23,PROPER(I23))</f>
        <v>1</v>
      </c>
      <c r="K23" t="s">
        <v>29</v>
      </c>
      <c r="L23" t="str">
        <f>TRIM(K23)</f>
        <v>Finance</v>
      </c>
      <c r="M23" t="b">
        <f>K23&lt;&gt;L23</f>
        <v>0</v>
      </c>
      <c r="O23" t="b">
        <f>LEN(TRIM(N23))=0</f>
        <v>1</v>
      </c>
      <c r="P23" t="b">
        <f>AND(N23&gt;0, N23&lt;1000000)</f>
        <v>0</v>
      </c>
      <c r="Q23" t="s">
        <v>56</v>
      </c>
      <c r="R23" s="2" t="b">
        <f>LEN(TRIM(Q23))=0</f>
        <v>0</v>
      </c>
      <c r="S23" s="2" t="str">
        <f>IF(RIGHT(TRIM(Q23),9)="gmail.com","OK","Typo")</f>
        <v>OK</v>
      </c>
      <c r="T23" s="2" t="str">
        <f>A23&amp;D23&amp;G23&amp;I23&amp;K23&amp;N23&amp;Q23</f>
        <v>AhmedFemaleKarachiFinanceahmed42@gmail.com</v>
      </c>
      <c r="U23" s="2" t="b">
        <f>COUNTIF(T:T,T23)&gt;1</f>
        <v>0</v>
      </c>
    </row>
    <row r="24" spans="1:21">
      <c r="A24" t="s">
        <v>21</v>
      </c>
      <c r="B24" t="b">
        <f>LEN(TRIM(A24))=0</f>
        <v>0</v>
      </c>
      <c r="C24" t="b">
        <f>COUNTIF(A:A,A24)&gt;1</f>
        <v>1</v>
      </c>
      <c r="D24" t="s">
        <v>30</v>
      </c>
      <c r="E24" t="b">
        <f>LEN(TRIM(D24))=0</f>
        <v>0</v>
      </c>
      <c r="F24" t="b">
        <f>EXACT(D24,PROPER(D24))</f>
        <v>1</v>
      </c>
      <c r="G24">
        <v>58</v>
      </c>
      <c r="H24" t="b">
        <f>LEN(TRIM(G24))=0</f>
        <v>0</v>
      </c>
      <c r="I24" t="s">
        <v>32</v>
      </c>
      <c r="J24" t="b">
        <f>EXACT(I24,PROPER(I24))</f>
        <v>1</v>
      </c>
      <c r="K24" t="s">
        <v>42</v>
      </c>
      <c r="L24" t="str">
        <f>TRIM(K24)</f>
        <v>IT</v>
      </c>
      <c r="M24" t="b">
        <f>K24&lt;&gt;L24</f>
        <v>0</v>
      </c>
      <c r="N24">
        <v>140948.6</v>
      </c>
      <c r="O24" t="b">
        <f>LEN(TRIM(N24))=0</f>
        <v>0</v>
      </c>
      <c r="P24" t="b">
        <f>AND(N24&gt;0, N24&lt;1000000)</f>
        <v>1</v>
      </c>
      <c r="Q24" t="s">
        <v>57</v>
      </c>
      <c r="R24" s="2" t="b">
        <f>LEN(TRIM(Q24))=0</f>
        <v>0</v>
      </c>
      <c r="S24" s="2" t="str">
        <f>IF(RIGHT(TRIM(Q24),9)="gmail.com","OK","Typo")</f>
        <v>OK</v>
      </c>
      <c r="T24" s="2" t="str">
        <f>A24&amp;D24&amp;G24&amp;I24&amp;K24&amp;N24&amp;Q24</f>
        <v>AhmedFemale58LahoreIT140948.6ahmed44@gmail.com</v>
      </c>
      <c r="U24" s="2" t="b">
        <f>COUNTIF(T:T,T24)&gt;1</f>
        <v>0</v>
      </c>
    </row>
    <row r="25" spans="1:21">
      <c r="A25" t="s">
        <v>21</v>
      </c>
      <c r="B25" t="b">
        <f>LEN(TRIM(A25))=0</f>
        <v>0</v>
      </c>
      <c r="C25" t="b">
        <f>COUNTIF(A:A,A25)&gt;1</f>
        <v>1</v>
      </c>
      <c r="D25" t="s">
        <v>22</v>
      </c>
      <c r="E25" t="b">
        <f>LEN(TRIM(D25))=0</f>
        <v>0</v>
      </c>
      <c r="F25" t="b">
        <f>EXACT(D25,PROPER(D25))</f>
        <v>1</v>
      </c>
      <c r="G25">
        <v>38</v>
      </c>
      <c r="H25" t="b">
        <f>LEN(TRIM(G25))=0</f>
        <v>0</v>
      </c>
      <c r="I25" t="s">
        <v>37</v>
      </c>
      <c r="J25" t="b">
        <f>EXACT(I25,PROPER(I25))</f>
        <v>1</v>
      </c>
      <c r="K25" t="s">
        <v>24</v>
      </c>
      <c r="L25" t="str">
        <f>TRIM(K25)</f>
        <v>HR</v>
      </c>
      <c r="M25" t="b">
        <f>K25&lt;&gt;L25</f>
        <v>0</v>
      </c>
      <c r="N25">
        <v>123954.79</v>
      </c>
      <c r="O25" t="b">
        <f>LEN(TRIM(N25))=0</f>
        <v>0</v>
      </c>
      <c r="P25" t="b">
        <f>AND(N25&gt;0, N25&lt;1000000)</f>
        <v>1</v>
      </c>
      <c r="Q25" t="s">
        <v>57</v>
      </c>
      <c r="R25" s="2" t="b">
        <f>LEN(TRIM(Q25))=0</f>
        <v>0</v>
      </c>
      <c r="S25" s="2" t="str">
        <f>IF(RIGHT(TRIM(Q25),9)="gmail.com","OK","Typo")</f>
        <v>OK</v>
      </c>
      <c r="T25" s="2" t="str">
        <f>A25&amp;D25&amp;G25&amp;I25&amp;K25&amp;N25&amp;Q25</f>
        <v>AhmedMale38IslamabadHR123954.79ahmed44@gmail.com</v>
      </c>
      <c r="U25" s="2" t="b">
        <f>COUNTIF(T:T,T25)&gt;1</f>
        <v>0</v>
      </c>
    </row>
    <row r="26" spans="1:21">
      <c r="A26" t="s">
        <v>21</v>
      </c>
      <c r="B26" t="b">
        <f>LEN(TRIM(A26))=0</f>
        <v>0</v>
      </c>
      <c r="C26" t="b">
        <f>COUNTIF(A:A,A26)&gt;1</f>
        <v>1</v>
      </c>
      <c r="D26" t="s">
        <v>22</v>
      </c>
      <c r="E26" t="b">
        <f>LEN(TRIM(D26))=0</f>
        <v>0</v>
      </c>
      <c r="F26" t="b">
        <f>EXACT(D26,PROPER(D26))</f>
        <v>1</v>
      </c>
      <c r="H26" t="b">
        <f>LEN(TRIM(G26))=0</f>
        <v>1</v>
      </c>
      <c r="I26" t="s">
        <v>23</v>
      </c>
      <c r="J26" t="b">
        <f>EXACT(I26,PROPER(I26))</f>
        <v>1</v>
      </c>
      <c r="K26" t="s">
        <v>29</v>
      </c>
      <c r="L26" t="str">
        <f>TRIM(K26)</f>
        <v>Finance</v>
      </c>
      <c r="M26" t="b">
        <f>K26&lt;&gt;L26</f>
        <v>0</v>
      </c>
      <c r="N26">
        <v>43153.97</v>
      </c>
      <c r="O26" t="b">
        <f>LEN(TRIM(N26))=0</f>
        <v>0</v>
      </c>
      <c r="P26" t="b">
        <f>AND(N26&gt;0, N26&lt;1000000)</f>
        <v>1</v>
      </c>
      <c r="Q26" t="s">
        <v>57</v>
      </c>
      <c r="R26" s="2" t="b">
        <f>LEN(TRIM(Q26))=0</f>
        <v>0</v>
      </c>
      <c r="S26" s="2" t="str">
        <f>IF(RIGHT(TRIM(Q26),9)="gmail.com","OK","Typo")</f>
        <v>OK</v>
      </c>
      <c r="T26" s="2" t="str">
        <f>A26&amp;D26&amp;G26&amp;I26&amp;K26&amp;N26&amp;Q26</f>
        <v>AhmedMaleQuettaFinance43153.97ahmed44@gmail.com</v>
      </c>
      <c r="U26" s="2" t="b">
        <f>COUNTIF(T:T,T26)&gt;1</f>
        <v>0</v>
      </c>
    </row>
    <row r="27" spans="1:21">
      <c r="A27" t="s">
        <v>21</v>
      </c>
      <c r="B27" t="b">
        <f>LEN(TRIM(A27))=0</f>
        <v>0</v>
      </c>
      <c r="C27" t="b">
        <f>COUNTIF(A:A,A27)&gt;1</f>
        <v>1</v>
      </c>
      <c r="D27" t="s">
        <v>30</v>
      </c>
      <c r="E27" t="b">
        <f>LEN(TRIM(D27))=0</f>
        <v>0</v>
      </c>
      <c r="F27" t="b">
        <f>EXACT(D27,PROPER(D27))</f>
        <v>1</v>
      </c>
      <c r="G27">
        <v>36</v>
      </c>
      <c r="H27" t="b">
        <f>LEN(TRIM(G27))=0</f>
        <v>0</v>
      </c>
      <c r="I27" t="s">
        <v>32</v>
      </c>
      <c r="J27" t="b">
        <f>EXACT(I27,PROPER(I27))</f>
        <v>1</v>
      </c>
      <c r="K27" t="s">
        <v>24</v>
      </c>
      <c r="L27" t="str">
        <f>TRIM(K27)</f>
        <v>HR</v>
      </c>
      <c r="M27" t="b">
        <f>K27&lt;&gt;L27</f>
        <v>0</v>
      </c>
      <c r="O27" t="b">
        <f>LEN(TRIM(N27))=0</f>
        <v>1</v>
      </c>
      <c r="P27" t="b">
        <f>AND(N27&gt;0, N27&lt;1000000)</f>
        <v>0</v>
      </c>
      <c r="Q27" t="s">
        <v>58</v>
      </c>
      <c r="R27" s="2" t="b">
        <f>LEN(TRIM(Q27))=0</f>
        <v>0</v>
      </c>
      <c r="S27" s="2" t="str">
        <f>IF(RIGHT(TRIM(Q27),9)="gmail.com","OK","Typo")</f>
        <v>OK</v>
      </c>
      <c r="T27" s="2" t="str">
        <f>A27&amp;D27&amp;G27&amp;I27&amp;K27&amp;N27&amp;Q27</f>
        <v>AhmedFemale36LahoreHRahmed47@gmail.com</v>
      </c>
      <c r="U27" s="2" t="b">
        <f>COUNTIF(T:T,T27)&gt;1</f>
        <v>0</v>
      </c>
    </row>
    <row r="28" spans="1:21">
      <c r="A28" t="s">
        <v>21</v>
      </c>
      <c r="B28" t="b">
        <f>LEN(TRIM(A28))=0</f>
        <v>0</v>
      </c>
      <c r="C28" t="b">
        <f>COUNTIF(A:A,A28)&gt;1</f>
        <v>1</v>
      </c>
      <c r="D28" t="s">
        <v>30</v>
      </c>
      <c r="E28" t="b">
        <f>LEN(TRIM(D28))=0</f>
        <v>0</v>
      </c>
      <c r="F28" t="b">
        <f>EXACT(D28,PROPER(D28))</f>
        <v>1</v>
      </c>
      <c r="H28" t="b">
        <f>LEN(TRIM(G28))=0</f>
        <v>1</v>
      </c>
      <c r="I28" t="s">
        <v>28</v>
      </c>
      <c r="J28" t="b">
        <f>EXACT(I28,PROPER(I28))</f>
        <v>1</v>
      </c>
      <c r="K28" t="s">
        <v>29</v>
      </c>
      <c r="L28" t="str">
        <f>TRIM(K28)</f>
        <v>Finance</v>
      </c>
      <c r="M28" t="b">
        <f>K28&lt;&gt;L28</f>
        <v>0</v>
      </c>
      <c r="N28">
        <v>125917.01</v>
      </c>
      <c r="O28" t="b">
        <f>LEN(TRIM(N28))=0</f>
        <v>0</v>
      </c>
      <c r="P28" t="b">
        <f>AND(N28&gt;0, N28&lt;1000000)</f>
        <v>1</v>
      </c>
      <c r="Q28" t="s">
        <v>59</v>
      </c>
      <c r="R28" s="2" t="b">
        <f>LEN(TRIM(Q28))=0</f>
        <v>0</v>
      </c>
      <c r="S28" s="2" t="str">
        <f>IF(RIGHT(TRIM(Q28),9)="gmail.com","OK","Typo")</f>
        <v>OK</v>
      </c>
      <c r="T28" s="2" t="str">
        <f>A28&amp;D28&amp;G28&amp;I28&amp;K28&amp;N28&amp;Q28</f>
        <v>AhmedFemaleKarachiFinance125917.01ahmed48@gmail.com</v>
      </c>
      <c r="U28" s="2" t="b">
        <f>COUNTIF(T:T,T28)&gt;1</f>
        <v>0</v>
      </c>
    </row>
    <row r="29" spans="1:21">
      <c r="A29" t="s">
        <v>21</v>
      </c>
      <c r="B29" t="b">
        <f>LEN(TRIM(A29))=0</f>
        <v>0</v>
      </c>
      <c r="C29" t="b">
        <f>COUNTIF(A:A,A29)&gt;1</f>
        <v>1</v>
      </c>
      <c r="D29" t="s">
        <v>30</v>
      </c>
      <c r="E29" t="b">
        <f>LEN(TRIM(D29))=0</f>
        <v>0</v>
      </c>
      <c r="F29" t="b">
        <f>EXACT(D29,PROPER(D29))</f>
        <v>1</v>
      </c>
      <c r="H29" t="b">
        <f>LEN(TRIM(G29))=0</f>
        <v>1</v>
      </c>
      <c r="I29" t="s">
        <v>32</v>
      </c>
      <c r="J29" t="b">
        <f>EXACT(I29,PROPER(I29))</f>
        <v>1</v>
      </c>
      <c r="K29" t="s">
        <v>60</v>
      </c>
      <c r="L29" t="str">
        <f>TRIM(K29)</f>
        <v>Finance</v>
      </c>
      <c r="M29" t="b">
        <f>K29&lt;&gt;L29</f>
        <v>1</v>
      </c>
      <c r="O29" t="b">
        <f>LEN(TRIM(N29))=0</f>
        <v>1</v>
      </c>
      <c r="P29" t="b">
        <f>AND(N29&gt;0, N29&lt;1000000)</f>
        <v>0</v>
      </c>
      <c r="Q29" t="s">
        <v>61</v>
      </c>
      <c r="R29" s="2" t="b">
        <f>LEN(TRIM(Q29))=0</f>
        <v>0</v>
      </c>
      <c r="S29" s="2" t="str">
        <f>IF(RIGHT(TRIM(Q29),9)="gmail.com","OK","Typo")</f>
        <v>OK</v>
      </c>
      <c r="T29" s="2" t="str">
        <f>A29&amp;D29&amp;G29&amp;I29&amp;K29&amp;N29&amp;Q29</f>
        <v>AhmedFemaleLahore Finance ahmed5@gmail.com</v>
      </c>
      <c r="U29" s="2" t="b">
        <f>COUNTIF(T:T,T29)&gt;1</f>
        <v>0</v>
      </c>
    </row>
    <row r="30" spans="1:21">
      <c r="A30" t="s">
        <v>21</v>
      </c>
      <c r="B30" t="b">
        <f>LEN(TRIM(A30))=0</f>
        <v>0</v>
      </c>
      <c r="C30" t="b">
        <f>COUNTIF(A:A,A30)&gt;1</f>
        <v>1</v>
      </c>
      <c r="D30" t="s">
        <v>30</v>
      </c>
      <c r="E30" t="b">
        <f>LEN(TRIM(D30))=0</f>
        <v>0</v>
      </c>
      <c r="F30" t="b">
        <f>EXACT(D30,PROPER(D30))</f>
        <v>1</v>
      </c>
      <c r="G30">
        <v>25</v>
      </c>
      <c r="H30" t="b">
        <f>LEN(TRIM(G30))=0</f>
        <v>0</v>
      </c>
      <c r="I30" t="s">
        <v>37</v>
      </c>
      <c r="J30" t="b">
        <f>EXACT(I30,PROPER(I30))</f>
        <v>1</v>
      </c>
      <c r="K30" t="s">
        <v>35</v>
      </c>
      <c r="L30" t="str">
        <f>TRIM(K30)</f>
        <v>Marketing</v>
      </c>
      <c r="M30" t="b">
        <f>K30&lt;&gt;L30</f>
        <v>0</v>
      </c>
      <c r="N30">
        <v>137134.47</v>
      </c>
      <c r="O30" t="b">
        <f>LEN(TRIM(N30))=0</f>
        <v>0</v>
      </c>
      <c r="P30" t="b">
        <f>AND(N30&gt;0, N30&lt;1000000)</f>
        <v>1</v>
      </c>
      <c r="Q30" t="s">
        <v>61</v>
      </c>
      <c r="R30" s="2" t="b">
        <f>LEN(TRIM(Q30))=0</f>
        <v>0</v>
      </c>
      <c r="S30" s="2" t="str">
        <f>IF(RIGHT(TRIM(Q30),9)="gmail.com","OK","Typo")</f>
        <v>OK</v>
      </c>
      <c r="T30" s="2" t="str">
        <f>A30&amp;D30&amp;G30&amp;I30&amp;K30&amp;N30&amp;Q30</f>
        <v>AhmedFemale25IslamabadMarketing137134.47ahmed5@gmail.com</v>
      </c>
      <c r="U30" s="2" t="b">
        <f>COUNTIF(T:T,T30)&gt;1</f>
        <v>0</v>
      </c>
    </row>
    <row r="31" spans="1:21">
      <c r="A31" t="s">
        <v>21</v>
      </c>
      <c r="B31" t="b">
        <f>LEN(TRIM(A31))=0</f>
        <v>0</v>
      </c>
      <c r="C31" t="b">
        <f>COUNTIF(A:A,A31)&gt;1</f>
        <v>1</v>
      </c>
      <c r="D31" t="s">
        <v>30</v>
      </c>
      <c r="E31" t="b">
        <f>LEN(TRIM(D31))=0</f>
        <v>0</v>
      </c>
      <c r="F31" t="b">
        <f>EXACT(D31,PROPER(D31))</f>
        <v>1</v>
      </c>
      <c r="H31" t="b">
        <f>LEN(TRIM(G31))=0</f>
        <v>1</v>
      </c>
      <c r="I31" t="s">
        <v>37</v>
      </c>
      <c r="J31" t="b">
        <f>EXACT(I31,PROPER(I31))</f>
        <v>1</v>
      </c>
      <c r="K31" t="s">
        <v>42</v>
      </c>
      <c r="L31" t="str">
        <f>TRIM(K31)</f>
        <v>IT</v>
      </c>
      <c r="M31" t="b">
        <f>K31&lt;&gt;L31</f>
        <v>0</v>
      </c>
      <c r="N31">
        <v>105910.23</v>
      </c>
      <c r="O31" t="b">
        <f>LEN(TRIM(N31))=0</f>
        <v>0</v>
      </c>
      <c r="P31" t="b">
        <f>AND(N31&gt;0, N31&lt;1000000)</f>
        <v>1</v>
      </c>
      <c r="Q31" t="s">
        <v>62</v>
      </c>
      <c r="R31" s="2" t="b">
        <f>LEN(TRIM(Q31))=0</f>
        <v>0</v>
      </c>
      <c r="S31" s="2" t="str">
        <f>IF(RIGHT(TRIM(Q31),9)="gmail.com","OK","Typo")</f>
        <v>OK</v>
      </c>
      <c r="T31" s="2" t="str">
        <f>A31&amp;D31&amp;G31&amp;I31&amp;K31&amp;N31&amp;Q31</f>
        <v>AhmedFemaleIslamabadIT105910.23ahmed50@gmail.com</v>
      </c>
      <c r="U31" s="2" t="b">
        <f>COUNTIF(T:T,T31)&gt;1</f>
        <v>0</v>
      </c>
    </row>
    <row r="32" spans="1:21">
      <c r="A32" t="s">
        <v>21</v>
      </c>
      <c r="B32" t="b">
        <f>LEN(TRIM(A32))=0</f>
        <v>0</v>
      </c>
      <c r="C32" t="b">
        <f>COUNTIF(A:A,A32)&gt;1</f>
        <v>1</v>
      </c>
      <c r="D32" t="s">
        <v>30</v>
      </c>
      <c r="E32" t="b">
        <f>LEN(TRIM(D32))=0</f>
        <v>0</v>
      </c>
      <c r="F32" t="b">
        <f>EXACT(D32,PROPER(D32))</f>
        <v>1</v>
      </c>
      <c r="H32" t="b">
        <f>LEN(TRIM(G32))=0</f>
        <v>1</v>
      </c>
      <c r="I32" t="s">
        <v>45</v>
      </c>
      <c r="J32" t="b">
        <f>EXACT(I32,PROPER(I32))</f>
        <v>1</v>
      </c>
      <c r="K32" t="s">
        <v>42</v>
      </c>
      <c r="L32" t="str">
        <f>TRIM(K32)</f>
        <v>IT</v>
      </c>
      <c r="M32" t="b">
        <f>K32&lt;&gt;L32</f>
        <v>0</v>
      </c>
      <c r="N32">
        <v>147009.74</v>
      </c>
      <c r="O32" t="b">
        <f>LEN(TRIM(N32))=0</f>
        <v>0</v>
      </c>
      <c r="P32" t="b">
        <f>AND(N32&gt;0, N32&lt;1000000)</f>
        <v>1</v>
      </c>
      <c r="Q32" t="s">
        <v>63</v>
      </c>
      <c r="R32" s="2" t="b">
        <f>LEN(TRIM(Q32))=0</f>
        <v>0</v>
      </c>
      <c r="S32" s="2" t="str">
        <f>IF(RIGHT(TRIM(Q32),9)="gmail.com","OK","Typo")</f>
        <v>OK</v>
      </c>
      <c r="T32" s="2" t="str">
        <f>A32&amp;D32&amp;G32&amp;I32&amp;K32&amp;N32&amp;Q32</f>
        <v>AhmedFemalePeshawarIT147009.74ahmed52@gmail.com</v>
      </c>
      <c r="U32" s="2" t="b">
        <f>COUNTIF(T:T,T32)&gt;1</f>
        <v>0</v>
      </c>
    </row>
    <row r="33" spans="1:21">
      <c r="A33" t="s">
        <v>21</v>
      </c>
      <c r="B33" t="b">
        <f>LEN(TRIM(A33))=0</f>
        <v>0</v>
      </c>
      <c r="C33" t="b">
        <f>COUNTIF(A:A,A33)&gt;1</f>
        <v>1</v>
      </c>
      <c r="D33" t="s">
        <v>30</v>
      </c>
      <c r="E33" t="b">
        <f>LEN(TRIM(D33))=0</f>
        <v>0</v>
      </c>
      <c r="F33" t="b">
        <f>EXACT(D33,PROPER(D33))</f>
        <v>1</v>
      </c>
      <c r="H33" t="b">
        <f>LEN(TRIM(G33))=0</f>
        <v>1</v>
      </c>
      <c r="I33" t="s">
        <v>45</v>
      </c>
      <c r="J33" t="b">
        <f>EXACT(I33,PROPER(I33))</f>
        <v>1</v>
      </c>
      <c r="K33" t="s">
        <v>24</v>
      </c>
      <c r="L33" t="str">
        <f>TRIM(K33)</f>
        <v>HR</v>
      </c>
      <c r="M33" t="b">
        <f>K33&lt;&gt;L33</f>
        <v>0</v>
      </c>
      <c r="O33" t="b">
        <f>LEN(TRIM(N33))=0</f>
        <v>1</v>
      </c>
      <c r="P33" t="b">
        <f>AND(N33&gt;0, N33&lt;1000000)</f>
        <v>0</v>
      </c>
      <c r="Q33" t="s">
        <v>63</v>
      </c>
      <c r="R33" s="2" t="b">
        <f>LEN(TRIM(Q33))=0</f>
        <v>0</v>
      </c>
      <c r="S33" s="2" t="str">
        <f>IF(RIGHT(TRIM(Q33),9)="gmail.com","OK","Typo")</f>
        <v>OK</v>
      </c>
      <c r="T33" s="2" t="str">
        <f>A33&amp;D33&amp;G33&amp;I33&amp;K33&amp;N33&amp;Q33</f>
        <v>AhmedFemalePeshawarHRahmed52@gmail.com</v>
      </c>
      <c r="U33" s="2" t="b">
        <f>COUNTIF(T:T,T33)&gt;1</f>
        <v>0</v>
      </c>
    </row>
    <row r="34" spans="1:21">
      <c r="A34" t="s">
        <v>21</v>
      </c>
      <c r="B34" t="b">
        <f>LEN(TRIM(A34))=0</f>
        <v>0</v>
      </c>
      <c r="C34" t="b">
        <f>COUNTIF(A:A,A34)&gt;1</f>
        <v>1</v>
      </c>
      <c r="D34" t="s">
        <v>30</v>
      </c>
      <c r="E34" t="b">
        <f>LEN(TRIM(D34))=0</f>
        <v>0</v>
      </c>
      <c r="F34" t="b">
        <f>EXACT(D34,PROPER(D34))</f>
        <v>1</v>
      </c>
      <c r="G34">
        <v>50</v>
      </c>
      <c r="H34" t="b">
        <f>LEN(TRIM(G34))=0</f>
        <v>0</v>
      </c>
      <c r="I34" t="s">
        <v>28</v>
      </c>
      <c r="J34" t="b">
        <f>EXACT(I34,PROPER(I34))</f>
        <v>1</v>
      </c>
      <c r="K34" t="s">
        <v>24</v>
      </c>
      <c r="L34" t="str">
        <f>TRIM(K34)</f>
        <v>HR</v>
      </c>
      <c r="M34" t="b">
        <f>K34&lt;&gt;L34</f>
        <v>0</v>
      </c>
      <c r="O34" t="b">
        <f>LEN(TRIM(N34))=0</f>
        <v>1</v>
      </c>
      <c r="P34" t="b">
        <f>AND(N34&gt;0, N34&lt;1000000)</f>
        <v>0</v>
      </c>
      <c r="Q34" t="s">
        <v>64</v>
      </c>
      <c r="R34" s="2" t="b">
        <f>LEN(TRIM(Q34))=0</f>
        <v>0</v>
      </c>
      <c r="S34" s="2" t="str">
        <f>IF(RIGHT(TRIM(Q34),9)="gmail.com","OK","Typo")</f>
        <v>OK</v>
      </c>
      <c r="T34" s="2" t="str">
        <f>A34&amp;D34&amp;G34&amp;I34&amp;K34&amp;N34&amp;Q34</f>
        <v>AhmedFemale50KarachiHRahmed55@gmail.com</v>
      </c>
      <c r="U34" s="2" t="b">
        <f>COUNTIF(T:T,T34)&gt;1</f>
        <v>0</v>
      </c>
    </row>
    <row r="35" spans="1:21">
      <c r="A35" t="s">
        <v>21</v>
      </c>
      <c r="B35" t="b">
        <f>LEN(TRIM(A35))=0</f>
        <v>0</v>
      </c>
      <c r="C35" t="b">
        <f>COUNTIF(A:A,A35)&gt;1</f>
        <v>1</v>
      </c>
      <c r="D35" t="s">
        <v>30</v>
      </c>
      <c r="E35" t="b">
        <f>LEN(TRIM(D35))=0</f>
        <v>0</v>
      </c>
      <c r="F35" t="b">
        <f>EXACT(D35,PROPER(D35))</f>
        <v>1</v>
      </c>
      <c r="H35" t="b">
        <f>LEN(TRIM(G35))=0</f>
        <v>1</v>
      </c>
      <c r="I35" t="s">
        <v>28</v>
      </c>
      <c r="J35" t="b">
        <f>EXACT(I35,PROPER(I35))</f>
        <v>1</v>
      </c>
      <c r="K35" t="s">
        <v>35</v>
      </c>
      <c r="L35" t="str">
        <f>TRIM(K35)</f>
        <v>Marketing</v>
      </c>
      <c r="M35" t="b">
        <f>K35&lt;&gt;L35</f>
        <v>0</v>
      </c>
      <c r="O35" t="b">
        <f>LEN(TRIM(N35))=0</f>
        <v>1</v>
      </c>
      <c r="P35" t="b">
        <f>AND(N35&gt;0, N35&lt;1000000)</f>
        <v>0</v>
      </c>
      <c r="Q35" t="s">
        <v>64</v>
      </c>
      <c r="R35" s="2" t="b">
        <f>LEN(TRIM(Q35))=0</f>
        <v>0</v>
      </c>
      <c r="S35" s="2" t="str">
        <f>IF(RIGHT(TRIM(Q35),9)="gmail.com","OK","Typo")</f>
        <v>OK</v>
      </c>
      <c r="T35" s="2" t="str">
        <f>A35&amp;D35&amp;G35&amp;I35&amp;K35&amp;N35&amp;Q35</f>
        <v>AhmedFemaleKarachiMarketingahmed55@gmail.com</v>
      </c>
      <c r="U35" s="2" t="b">
        <f>COUNTIF(T:T,T35)&gt;1</f>
        <v>0</v>
      </c>
    </row>
    <row r="36" spans="1:21">
      <c r="A36" t="s">
        <v>21</v>
      </c>
      <c r="B36" t="b">
        <f>LEN(TRIM(A36))=0</f>
        <v>0</v>
      </c>
      <c r="C36" t="b">
        <f>COUNTIF(A:A,A36)&gt;1</f>
        <v>1</v>
      </c>
      <c r="D36" t="s">
        <v>22</v>
      </c>
      <c r="E36" t="b">
        <f>LEN(TRIM(D36))=0</f>
        <v>0</v>
      </c>
      <c r="F36" t="b">
        <f>EXACT(D36,PROPER(D36))</f>
        <v>1</v>
      </c>
      <c r="G36">
        <v>49</v>
      </c>
      <c r="H36" t="b">
        <f>LEN(TRIM(G36))=0</f>
        <v>0</v>
      </c>
      <c r="I36" t="s">
        <v>37</v>
      </c>
      <c r="J36" t="b">
        <f>EXACT(I36,PROPER(I36))</f>
        <v>1</v>
      </c>
      <c r="K36" t="s">
        <v>24</v>
      </c>
      <c r="L36" t="str">
        <f>TRIM(K36)</f>
        <v>HR</v>
      </c>
      <c r="M36" t="b">
        <f>K36&lt;&gt;L36</f>
        <v>0</v>
      </c>
      <c r="N36">
        <v>63547.6</v>
      </c>
      <c r="O36" t="b">
        <f>LEN(TRIM(N36))=0</f>
        <v>0</v>
      </c>
      <c r="P36" t="b">
        <f>AND(N36&gt;0, N36&lt;1000000)</f>
        <v>1</v>
      </c>
      <c r="Q36" t="s">
        <v>65</v>
      </c>
      <c r="R36" s="2" t="b">
        <f>LEN(TRIM(Q36))=0</f>
        <v>0</v>
      </c>
      <c r="S36" s="2" t="str">
        <f>IF(RIGHT(TRIM(Q36),9)="gmail.com","OK","Typo")</f>
        <v>OK</v>
      </c>
      <c r="T36" s="2" t="str">
        <f>A36&amp;D36&amp;G36&amp;I36&amp;K36&amp;N36&amp;Q36</f>
        <v>AhmedMale49IslamabadHR63547.6ahmed59@gmail.com</v>
      </c>
      <c r="U36" s="2" t="b">
        <f>COUNTIF(T:T,T36)&gt;1</f>
        <v>0</v>
      </c>
    </row>
    <row r="37" spans="1:21">
      <c r="A37" t="s">
        <v>21</v>
      </c>
      <c r="B37" t="b">
        <f>LEN(TRIM(A37))=0</f>
        <v>0</v>
      </c>
      <c r="C37" t="b">
        <f>COUNTIF(A:A,A37)&gt;1</f>
        <v>1</v>
      </c>
      <c r="D37" t="s">
        <v>22</v>
      </c>
      <c r="E37" t="b">
        <f>LEN(TRIM(D37))=0</f>
        <v>0</v>
      </c>
      <c r="F37" t="b">
        <f>EXACT(D37,PROPER(D37))</f>
        <v>1</v>
      </c>
      <c r="G37">
        <v>43</v>
      </c>
      <c r="H37" t="b">
        <f>LEN(TRIM(G37))=0</f>
        <v>0</v>
      </c>
      <c r="I37" t="s">
        <v>66</v>
      </c>
      <c r="J37" t="b">
        <f>EXACT(I37,PROPER(I37))</f>
        <v>0</v>
      </c>
      <c r="K37" t="s">
        <v>29</v>
      </c>
      <c r="L37" t="str">
        <f>TRIM(K37)</f>
        <v>Finance</v>
      </c>
      <c r="M37" t="b">
        <f>K37&lt;&gt;L37</f>
        <v>0</v>
      </c>
      <c r="N37">
        <v>100705.55</v>
      </c>
      <c r="O37" t="b">
        <f>LEN(TRIM(N37))=0</f>
        <v>0</v>
      </c>
      <c r="P37" t="b">
        <f>AND(N37&gt;0, N37&lt;1000000)</f>
        <v>1</v>
      </c>
      <c r="Q37" t="s">
        <v>67</v>
      </c>
      <c r="R37" s="2" t="b">
        <f>LEN(TRIM(Q37))=0</f>
        <v>0</v>
      </c>
      <c r="S37" s="2" t="str">
        <f>IF(RIGHT(TRIM(Q37),9)="gmail.com","OK","Typo")</f>
        <v>OK</v>
      </c>
      <c r="T37" s="2" t="str">
        <f>A37&amp;D37&amp;G37&amp;I37&amp;K37&amp;N37&amp;Q37</f>
        <v>AhmedMale43karachiFinance100705.55ahmed61@gmail.com</v>
      </c>
      <c r="U37" s="2" t="b">
        <f>COUNTIF(T:T,T37)&gt;1</f>
        <v>0</v>
      </c>
    </row>
    <row r="38" spans="1:21">
      <c r="A38" t="s">
        <v>21</v>
      </c>
      <c r="B38" t="b">
        <f>LEN(TRIM(A38))=0</f>
        <v>0</v>
      </c>
      <c r="C38" t="b">
        <f>COUNTIF(A:A,A38)&gt;1</f>
        <v>1</v>
      </c>
      <c r="D38" t="s">
        <v>22</v>
      </c>
      <c r="E38" t="b">
        <f>LEN(TRIM(D38))=0</f>
        <v>0</v>
      </c>
      <c r="F38" t="b">
        <f>EXACT(D38,PROPER(D38))</f>
        <v>1</v>
      </c>
      <c r="H38" t="b">
        <f>LEN(TRIM(G38))=0</f>
        <v>1</v>
      </c>
      <c r="I38" t="s">
        <v>32</v>
      </c>
      <c r="J38" t="b">
        <f>EXACT(I38,PROPER(I38))</f>
        <v>1</v>
      </c>
      <c r="K38" t="s">
        <v>42</v>
      </c>
      <c r="L38" t="str">
        <f>TRIM(K38)</f>
        <v>IT</v>
      </c>
      <c r="M38" t="b">
        <f>K38&lt;&gt;L38</f>
        <v>0</v>
      </c>
      <c r="O38" t="b">
        <f>LEN(TRIM(N38))=0</f>
        <v>1</v>
      </c>
      <c r="P38" t="b">
        <f>AND(N38&gt;0, N38&lt;1000000)</f>
        <v>0</v>
      </c>
      <c r="Q38" t="s">
        <v>68</v>
      </c>
      <c r="R38" s="2" t="b">
        <f>LEN(TRIM(Q38))=0</f>
        <v>0</v>
      </c>
      <c r="S38" s="2" t="str">
        <f>IF(RIGHT(TRIM(Q38),9)="gmail.com","OK","Typo")</f>
        <v>OK</v>
      </c>
      <c r="T38" s="2" t="str">
        <f>A38&amp;D38&amp;G38&amp;I38&amp;K38&amp;N38&amp;Q38</f>
        <v>AhmedMaleLahoreITahmed63@gmail.com</v>
      </c>
      <c r="U38" s="2" t="b">
        <f>COUNTIF(T:T,T38)&gt;1</f>
        <v>0</v>
      </c>
    </row>
    <row r="39" spans="1:21">
      <c r="A39" t="s">
        <v>21</v>
      </c>
      <c r="B39" t="b">
        <f>LEN(TRIM(A39))=0</f>
        <v>0</v>
      </c>
      <c r="C39" t="b">
        <f>COUNTIF(A:A,A39)&gt;1</f>
        <v>1</v>
      </c>
      <c r="D39" t="s">
        <v>30</v>
      </c>
      <c r="E39" t="b">
        <f>LEN(TRIM(D39))=0</f>
        <v>0</v>
      </c>
      <c r="F39" t="b">
        <f>EXACT(D39,PROPER(D39))</f>
        <v>1</v>
      </c>
      <c r="H39" t="b">
        <f>LEN(TRIM(G39))=0</f>
        <v>1</v>
      </c>
      <c r="I39" t="s">
        <v>45</v>
      </c>
      <c r="J39" t="b">
        <f>EXACT(I39,PROPER(I39))</f>
        <v>1</v>
      </c>
      <c r="K39" t="s">
        <v>35</v>
      </c>
      <c r="L39" t="str">
        <f>TRIM(K39)</f>
        <v>Marketing</v>
      </c>
      <c r="M39" t="b">
        <f>K39&lt;&gt;L39</f>
        <v>0</v>
      </c>
      <c r="O39" t="b">
        <f>LEN(TRIM(N39))=0</f>
        <v>1</v>
      </c>
      <c r="P39" t="b">
        <f>AND(N39&gt;0, N39&lt;1000000)</f>
        <v>0</v>
      </c>
      <c r="Q39" t="s">
        <v>69</v>
      </c>
      <c r="R39" s="2" t="b">
        <f>LEN(TRIM(Q39))=0</f>
        <v>0</v>
      </c>
      <c r="S39" s="2" t="str">
        <f>IF(RIGHT(TRIM(Q39),9)="gmail.com","OK","Typo")</f>
        <v>OK</v>
      </c>
      <c r="T39" s="2" t="str">
        <f>A39&amp;D39&amp;G39&amp;I39&amp;K39&amp;N39&amp;Q39</f>
        <v>AhmedFemalePeshawarMarketingahmed64@gmail.com</v>
      </c>
      <c r="U39" s="2" t="b">
        <f>COUNTIF(T:T,T39)&gt;1</f>
        <v>0</v>
      </c>
    </row>
    <row r="40" spans="1:21">
      <c r="A40" t="s">
        <v>21</v>
      </c>
      <c r="B40" t="b">
        <f>LEN(TRIM(A40))=0</f>
        <v>0</v>
      </c>
      <c r="C40" t="b">
        <f>COUNTIF(A:A,A40)&gt;1</f>
        <v>1</v>
      </c>
      <c r="D40" t="s">
        <v>22</v>
      </c>
      <c r="E40" t="b">
        <f>LEN(TRIM(D40))=0</f>
        <v>0</v>
      </c>
      <c r="F40" t="b">
        <f>EXACT(D40,PROPER(D40))</f>
        <v>1</v>
      </c>
      <c r="H40" t="b">
        <f>LEN(TRIM(G40))=0</f>
        <v>1</v>
      </c>
      <c r="I40" t="s">
        <v>28</v>
      </c>
      <c r="J40" t="b">
        <f>EXACT(I40,PROPER(I40))</f>
        <v>1</v>
      </c>
      <c r="K40" t="s">
        <v>47</v>
      </c>
      <c r="L40" t="str">
        <f>TRIM(K40)</f>
        <v>Sales</v>
      </c>
      <c r="M40" t="b">
        <f>K40&lt;&gt;L40</f>
        <v>1</v>
      </c>
      <c r="N40">
        <v>43956.23</v>
      </c>
      <c r="O40" t="b">
        <f>LEN(TRIM(N40))=0</f>
        <v>0</v>
      </c>
      <c r="P40" t="b">
        <f>AND(N40&gt;0, N40&lt;1000000)</f>
        <v>1</v>
      </c>
      <c r="Q40" t="s">
        <v>70</v>
      </c>
      <c r="R40" s="2" t="b">
        <f>LEN(TRIM(Q40))=0</f>
        <v>0</v>
      </c>
      <c r="S40" s="2" t="str">
        <f>IF(RIGHT(TRIM(Q40),9)="gmail.com","OK","Typo")</f>
        <v>Typo</v>
      </c>
      <c r="T40" s="2" t="str">
        <f>A40&amp;D40&amp;G40&amp;I40&amp;K40&amp;N40&amp;Q40</f>
        <v>AhmedMaleKarachi Sales 43956.23ahmed68@gamil.com</v>
      </c>
      <c r="U40" s="2" t="b">
        <f>COUNTIF(T:T,T40)&gt;1</f>
        <v>0</v>
      </c>
    </row>
    <row r="41" spans="1:21">
      <c r="A41" t="s">
        <v>21</v>
      </c>
      <c r="B41" t="b">
        <f>LEN(TRIM(A41))=0</f>
        <v>0</v>
      </c>
      <c r="C41" t="b">
        <f>COUNTIF(A:A,A41)&gt;1</f>
        <v>1</v>
      </c>
      <c r="D41" t="s">
        <v>22</v>
      </c>
      <c r="E41" t="b">
        <f>LEN(TRIM(D41))=0</f>
        <v>0</v>
      </c>
      <c r="F41" t="b">
        <f>EXACT(D41,PROPER(D41))</f>
        <v>1</v>
      </c>
      <c r="G41">
        <v>20</v>
      </c>
      <c r="H41" t="b">
        <f>LEN(TRIM(G41))=0</f>
        <v>0</v>
      </c>
      <c r="I41" t="s">
        <v>28</v>
      </c>
      <c r="J41" t="b">
        <f>EXACT(I41,PROPER(I41))</f>
        <v>1</v>
      </c>
      <c r="K41" t="s">
        <v>24</v>
      </c>
      <c r="L41" t="str">
        <f>TRIM(K41)</f>
        <v>HR</v>
      </c>
      <c r="M41" t="b">
        <f>K41&lt;&gt;L41</f>
        <v>0</v>
      </c>
      <c r="O41" t="b">
        <f>LEN(TRIM(N41))=0</f>
        <v>1</v>
      </c>
      <c r="P41" t="b">
        <f>AND(N41&gt;0, N41&lt;1000000)</f>
        <v>0</v>
      </c>
      <c r="Q41" t="s">
        <v>71</v>
      </c>
      <c r="R41" s="2" t="b">
        <f>LEN(TRIM(Q41))=0</f>
        <v>0</v>
      </c>
      <c r="S41" s="2" t="str">
        <f>IF(RIGHT(TRIM(Q41),9)="gmail.com","OK","Typo")</f>
        <v>OK</v>
      </c>
      <c r="T41" s="2" t="str">
        <f>A41&amp;D41&amp;G41&amp;I41&amp;K41&amp;N41&amp;Q41</f>
        <v>AhmedMale20KarachiHRahmed7@gmail.com</v>
      </c>
      <c r="U41" s="2" t="b">
        <f>COUNTIF(T:T,T41)&gt;1</f>
        <v>0</v>
      </c>
    </row>
    <row r="42" spans="1:21">
      <c r="A42" t="s">
        <v>21</v>
      </c>
      <c r="B42" t="b">
        <f>LEN(TRIM(A42))=0</f>
        <v>0</v>
      </c>
      <c r="C42" t="b">
        <f>COUNTIF(A:A,A42)&gt;1</f>
        <v>1</v>
      </c>
      <c r="D42" t="s">
        <v>30</v>
      </c>
      <c r="E42" t="b">
        <f>LEN(TRIM(D42))=0</f>
        <v>0</v>
      </c>
      <c r="F42" t="b">
        <f>EXACT(D42,PROPER(D42))</f>
        <v>1</v>
      </c>
      <c r="H42" t="b">
        <f>LEN(TRIM(G42))=0</f>
        <v>1</v>
      </c>
      <c r="I42" t="s">
        <v>37</v>
      </c>
      <c r="J42" t="b">
        <f>EXACT(I42,PROPER(I42))</f>
        <v>1</v>
      </c>
      <c r="K42" t="s">
        <v>29</v>
      </c>
      <c r="L42" t="str">
        <f>TRIM(K42)</f>
        <v>Finance</v>
      </c>
      <c r="M42" t="b">
        <f>K42&lt;&gt;L42</f>
        <v>0</v>
      </c>
      <c r="N42">
        <v>147997.25</v>
      </c>
      <c r="O42" t="b">
        <f>LEN(TRIM(N42))=0</f>
        <v>0</v>
      </c>
      <c r="P42" t="b">
        <f>AND(N42&gt;0, N42&lt;1000000)</f>
        <v>1</v>
      </c>
      <c r="Q42" t="s">
        <v>72</v>
      </c>
      <c r="R42" s="2" t="b">
        <f>LEN(TRIM(Q42))=0</f>
        <v>0</v>
      </c>
      <c r="S42" s="2" t="str">
        <f>IF(RIGHT(TRIM(Q42),9)="gmail.com","OK","Typo")</f>
        <v>OK</v>
      </c>
      <c r="T42" s="2" t="str">
        <f>A42&amp;D42&amp;G42&amp;I42&amp;K42&amp;N42&amp;Q42</f>
        <v>AhmedFemaleIslamabadFinance147997.25ahmed75@gmail.com</v>
      </c>
      <c r="U42" s="2" t="b">
        <f>COUNTIF(T:T,T42)&gt;1</f>
        <v>0</v>
      </c>
    </row>
    <row r="43" spans="1:21">
      <c r="A43" t="s">
        <v>21</v>
      </c>
      <c r="B43" t="b">
        <f>LEN(TRIM(A43))=0</f>
        <v>0</v>
      </c>
      <c r="C43" t="b">
        <f>COUNTIF(A:A,A43)&gt;1</f>
        <v>1</v>
      </c>
      <c r="D43" t="s">
        <v>22</v>
      </c>
      <c r="E43" t="b">
        <f>LEN(TRIM(D43))=0</f>
        <v>0</v>
      </c>
      <c r="F43" t="b">
        <f>EXACT(D43,PROPER(D43))</f>
        <v>1</v>
      </c>
      <c r="G43">
        <v>30</v>
      </c>
      <c r="H43" t="b">
        <f>LEN(TRIM(G43))=0</f>
        <v>0</v>
      </c>
      <c r="I43" t="s">
        <v>37</v>
      </c>
      <c r="J43" t="b">
        <f>EXACT(I43,PROPER(I43))</f>
        <v>1</v>
      </c>
      <c r="K43" t="s">
        <v>29</v>
      </c>
      <c r="L43" t="str">
        <f>TRIM(K43)</f>
        <v>Finance</v>
      </c>
      <c r="M43" t="b">
        <f>K43&lt;&gt;L43</f>
        <v>0</v>
      </c>
      <c r="O43" t="b">
        <f>LEN(TRIM(N43))=0</f>
        <v>1</v>
      </c>
      <c r="P43" t="b">
        <f>AND(N43&gt;0, N43&lt;1000000)</f>
        <v>0</v>
      </c>
      <c r="Q43" t="s">
        <v>73</v>
      </c>
      <c r="R43" s="2" t="b">
        <f>LEN(TRIM(Q43))=0</f>
        <v>0</v>
      </c>
      <c r="S43" s="2" t="str">
        <f>IF(RIGHT(TRIM(Q43),9)="gmail.com","OK","Typo")</f>
        <v>OK</v>
      </c>
      <c r="T43" s="2" t="str">
        <f>A43&amp;D43&amp;G43&amp;I43&amp;K43&amp;N43&amp;Q43</f>
        <v>AhmedMale30IslamabadFinanceahmed78@gmail.com</v>
      </c>
      <c r="U43" s="2" t="b">
        <f>COUNTIF(T:T,T43)&gt;1</f>
        <v>0</v>
      </c>
    </row>
    <row r="44" spans="1:21">
      <c r="A44" t="s">
        <v>21</v>
      </c>
      <c r="B44" t="b">
        <f>LEN(TRIM(A44))=0</f>
        <v>0</v>
      </c>
      <c r="C44" t="b">
        <f>COUNTIF(A:A,A44)&gt;1</f>
        <v>1</v>
      </c>
      <c r="D44" t="s">
        <v>22</v>
      </c>
      <c r="E44" t="b">
        <f>LEN(TRIM(D44))=0</f>
        <v>0</v>
      </c>
      <c r="F44" t="b">
        <f>EXACT(D44,PROPER(D44))</f>
        <v>1</v>
      </c>
      <c r="H44" t="b">
        <f>LEN(TRIM(G44))=0</f>
        <v>1</v>
      </c>
      <c r="I44" t="s">
        <v>37</v>
      </c>
      <c r="J44" t="b">
        <f>EXACT(I44,PROPER(I44))</f>
        <v>1</v>
      </c>
      <c r="K44" t="s">
        <v>35</v>
      </c>
      <c r="L44" t="str">
        <f>TRIM(K44)</f>
        <v>Marketing</v>
      </c>
      <c r="M44" t="b">
        <f>K44&lt;&gt;L44</f>
        <v>0</v>
      </c>
      <c r="O44" t="b">
        <f>LEN(TRIM(N44))=0</f>
        <v>1</v>
      </c>
      <c r="P44" t="b">
        <f>AND(N44&gt;0, N44&lt;1000000)</f>
        <v>0</v>
      </c>
      <c r="Q44" t="s">
        <v>73</v>
      </c>
      <c r="R44" s="2" t="b">
        <f>LEN(TRIM(Q44))=0</f>
        <v>0</v>
      </c>
      <c r="S44" s="2" t="str">
        <f>IF(RIGHT(TRIM(Q44),9)="gmail.com","OK","Typo")</f>
        <v>OK</v>
      </c>
      <c r="T44" s="2" t="str">
        <f>A44&amp;D44&amp;G44&amp;I44&amp;K44&amp;N44&amp;Q44</f>
        <v>AhmedMaleIslamabadMarketingahmed78@gmail.com</v>
      </c>
      <c r="U44" s="2" t="b">
        <f>COUNTIF(T:T,T44)&gt;1</f>
        <v>0</v>
      </c>
    </row>
    <row r="45" spans="1:21">
      <c r="A45" t="s">
        <v>21</v>
      </c>
      <c r="B45" t="b">
        <f>LEN(TRIM(A45))=0</f>
        <v>0</v>
      </c>
      <c r="C45" t="b">
        <f>COUNTIF(A:A,A45)&gt;1</f>
        <v>1</v>
      </c>
      <c r="D45" t="s">
        <v>30</v>
      </c>
      <c r="E45" t="b">
        <f>LEN(TRIM(D45))=0</f>
        <v>0</v>
      </c>
      <c r="F45" t="b">
        <f>EXACT(D45,PROPER(D45))</f>
        <v>1</v>
      </c>
      <c r="H45" t="b">
        <f>LEN(TRIM(G45))=0</f>
        <v>1</v>
      </c>
      <c r="I45" t="s">
        <v>37</v>
      </c>
      <c r="J45" t="b">
        <f>EXACT(I45,PROPER(I45))</f>
        <v>1</v>
      </c>
      <c r="K45" t="s">
        <v>74</v>
      </c>
      <c r="L45" t="str">
        <f>TRIM(K45)</f>
        <v>Marketing</v>
      </c>
      <c r="M45" t="b">
        <f>K45&lt;&gt;L45</f>
        <v>1</v>
      </c>
      <c r="N45">
        <v>34338.49</v>
      </c>
      <c r="O45" t="b">
        <f>LEN(TRIM(N45))=0</f>
        <v>0</v>
      </c>
      <c r="P45" t="b">
        <f>AND(N45&gt;0, N45&lt;1000000)</f>
        <v>1</v>
      </c>
      <c r="Q45" t="s">
        <v>75</v>
      </c>
      <c r="R45" s="2" t="b">
        <f>LEN(TRIM(Q45))=0</f>
        <v>0</v>
      </c>
      <c r="S45" s="2" t="str">
        <f>IF(RIGHT(TRIM(Q45),9)="gmail.com","OK","Typo")</f>
        <v>OK</v>
      </c>
      <c r="T45" s="2" t="str">
        <f>A45&amp;D45&amp;G45&amp;I45&amp;K45&amp;N45&amp;Q45</f>
        <v>AhmedFemaleIslamabad Marketing 34338.49ahmed8@gmail.com</v>
      </c>
      <c r="U45" s="2" t="b">
        <f>COUNTIF(T:T,T45)&gt;1</f>
        <v>0</v>
      </c>
    </row>
    <row r="46" spans="1:21">
      <c r="A46" t="s">
        <v>21</v>
      </c>
      <c r="B46" t="b">
        <f>LEN(TRIM(A46))=0</f>
        <v>0</v>
      </c>
      <c r="C46" t="b">
        <f>COUNTIF(A:A,A46)&gt;1</f>
        <v>1</v>
      </c>
      <c r="D46" t="s">
        <v>30</v>
      </c>
      <c r="E46" t="b">
        <f>LEN(TRIM(D46))=0</f>
        <v>0</v>
      </c>
      <c r="F46" t="b">
        <f>EXACT(D46,PROPER(D46))</f>
        <v>1</v>
      </c>
      <c r="H46" t="b">
        <f>LEN(TRIM(G46))=0</f>
        <v>1</v>
      </c>
      <c r="I46" t="s">
        <v>32</v>
      </c>
      <c r="J46" t="b">
        <f>EXACT(I46,PROPER(I46))</f>
        <v>1</v>
      </c>
      <c r="K46" t="s">
        <v>42</v>
      </c>
      <c r="L46" t="str">
        <f>TRIM(K46)</f>
        <v>IT</v>
      </c>
      <c r="M46" t="b">
        <f>K46&lt;&gt;L46</f>
        <v>0</v>
      </c>
      <c r="N46">
        <v>82915.360000000001</v>
      </c>
      <c r="O46" t="b">
        <f>LEN(TRIM(N46))=0</f>
        <v>0</v>
      </c>
      <c r="P46" t="b">
        <f>AND(N46&gt;0, N46&lt;1000000)</f>
        <v>1</v>
      </c>
      <c r="Q46" t="s">
        <v>76</v>
      </c>
      <c r="R46" s="2" t="b">
        <f>LEN(TRIM(Q46))=0</f>
        <v>0</v>
      </c>
      <c r="S46" s="2" t="str">
        <f>IF(RIGHT(TRIM(Q46),9)="gmail.com","OK","Typo")</f>
        <v>OK</v>
      </c>
      <c r="T46" s="2" t="str">
        <f>A46&amp;D46&amp;G46&amp;I46&amp;K46&amp;N46&amp;Q46</f>
        <v>AhmedFemaleLahoreIT82915.36ahmed80@gmail.com</v>
      </c>
      <c r="U46" s="2" t="b">
        <f>COUNTIF(T:T,T46)&gt;1</f>
        <v>0</v>
      </c>
    </row>
    <row r="47" spans="1:21">
      <c r="A47" t="s">
        <v>21</v>
      </c>
      <c r="B47" t="b">
        <f>LEN(TRIM(A47))=0</f>
        <v>0</v>
      </c>
      <c r="C47" t="b">
        <f>COUNTIF(A:A,A47)&gt;1</f>
        <v>1</v>
      </c>
      <c r="D47" t="s">
        <v>30</v>
      </c>
      <c r="E47" t="b">
        <f>LEN(TRIM(D47))=0</f>
        <v>0</v>
      </c>
      <c r="F47" t="b">
        <f>EXACT(D47,PROPER(D47))</f>
        <v>1</v>
      </c>
      <c r="G47">
        <v>57</v>
      </c>
      <c r="H47" t="b">
        <f>LEN(TRIM(G47))=0</f>
        <v>0</v>
      </c>
      <c r="I47" t="s">
        <v>32</v>
      </c>
      <c r="J47" t="b">
        <f>EXACT(I47,PROPER(I47))</f>
        <v>1</v>
      </c>
      <c r="K47" t="s">
        <v>42</v>
      </c>
      <c r="L47" t="str">
        <f>TRIM(K47)</f>
        <v>IT</v>
      </c>
      <c r="M47" t="b">
        <f>K47&lt;&gt;L47</f>
        <v>0</v>
      </c>
      <c r="O47" t="b">
        <f>LEN(TRIM(N47))=0</f>
        <v>1</v>
      </c>
      <c r="P47" t="b">
        <f>AND(N47&gt;0, N47&lt;1000000)</f>
        <v>0</v>
      </c>
      <c r="Q47" t="s">
        <v>76</v>
      </c>
      <c r="R47" s="2" t="b">
        <f>LEN(TRIM(Q47))=0</f>
        <v>0</v>
      </c>
      <c r="S47" s="2" t="str">
        <f>IF(RIGHT(TRIM(Q47),9)="gmail.com","OK","Typo")</f>
        <v>OK</v>
      </c>
      <c r="T47" s="2" t="str">
        <f>A47&amp;D47&amp;G47&amp;I47&amp;K47&amp;N47&amp;Q47</f>
        <v>AhmedFemale57LahoreITahmed80@gmail.com</v>
      </c>
      <c r="U47" s="2" t="b">
        <f>COUNTIF(T:T,T47)&gt;1</f>
        <v>0</v>
      </c>
    </row>
    <row r="48" spans="1:21">
      <c r="A48" t="s">
        <v>21</v>
      </c>
      <c r="B48" t="b">
        <f>LEN(TRIM(A48))=0</f>
        <v>0</v>
      </c>
      <c r="C48" t="b">
        <f>COUNTIF(A:A,A48)&gt;1</f>
        <v>1</v>
      </c>
      <c r="D48" t="s">
        <v>30</v>
      </c>
      <c r="E48" t="b">
        <f>LEN(TRIM(D48))=0</f>
        <v>0</v>
      </c>
      <c r="F48" t="b">
        <f>EXACT(D48,PROPER(D48))</f>
        <v>1</v>
      </c>
      <c r="G48">
        <v>57</v>
      </c>
      <c r="H48" t="b">
        <f>LEN(TRIM(G48))=0</f>
        <v>0</v>
      </c>
      <c r="I48" t="s">
        <v>31</v>
      </c>
      <c r="J48" t="b">
        <f>EXACT(I48,PROPER(I48))</f>
        <v>0</v>
      </c>
      <c r="K48" t="s">
        <v>47</v>
      </c>
      <c r="L48" t="str">
        <f>TRIM(K48)</f>
        <v>Sales</v>
      </c>
      <c r="M48" t="b">
        <f>K48&lt;&gt;L48</f>
        <v>1</v>
      </c>
      <c r="O48" t="b">
        <f>LEN(TRIM(N48))=0</f>
        <v>1</v>
      </c>
      <c r="P48" t="b">
        <f>AND(N48&gt;0, N48&lt;1000000)</f>
        <v>0</v>
      </c>
      <c r="Q48" t="s">
        <v>77</v>
      </c>
      <c r="R48" s="2" t="b">
        <f>LEN(TRIM(Q48))=0</f>
        <v>0</v>
      </c>
      <c r="S48" s="2" t="str">
        <f>IF(RIGHT(TRIM(Q48),9)="gmail.com","OK","Typo")</f>
        <v>OK</v>
      </c>
      <c r="T48" s="2" t="str">
        <f>A48&amp;D48&amp;G48&amp;I48&amp;K48&amp;N48&amp;Q48</f>
        <v>AhmedFemale57quetta Sales ahmed81@gmail.com</v>
      </c>
      <c r="U48" s="2" t="b">
        <f>COUNTIF(T:T,T48)&gt;1</f>
        <v>0</v>
      </c>
    </row>
    <row r="49" spans="1:21">
      <c r="A49" t="s">
        <v>21</v>
      </c>
      <c r="B49" t="b">
        <f>LEN(TRIM(A49))=0</f>
        <v>0</v>
      </c>
      <c r="C49" t="b">
        <f>COUNTIF(A:A,A49)&gt;1</f>
        <v>1</v>
      </c>
      <c r="D49" t="s">
        <v>30</v>
      </c>
      <c r="E49" t="b">
        <f>LEN(TRIM(D49))=0</f>
        <v>0</v>
      </c>
      <c r="F49" t="b">
        <f>EXACT(D49,PROPER(D49))</f>
        <v>1</v>
      </c>
      <c r="H49" t="b">
        <f>LEN(TRIM(G49))=0</f>
        <v>1</v>
      </c>
      <c r="I49" t="s">
        <v>52</v>
      </c>
      <c r="J49" t="b">
        <f>EXACT(I49,PROPER(I49))</f>
        <v>0</v>
      </c>
      <c r="K49" t="s">
        <v>29</v>
      </c>
      <c r="L49" t="str">
        <f>TRIM(K49)</f>
        <v>Finance</v>
      </c>
      <c r="M49" t="b">
        <f>K49&lt;&gt;L49</f>
        <v>0</v>
      </c>
      <c r="O49" t="b">
        <f>LEN(TRIM(N49))=0</f>
        <v>1</v>
      </c>
      <c r="P49" t="b">
        <f>AND(N49&gt;0, N49&lt;1000000)</f>
        <v>0</v>
      </c>
      <c r="Q49" t="s">
        <v>78</v>
      </c>
      <c r="R49" s="2" t="b">
        <f>LEN(TRIM(Q49))=0</f>
        <v>0</v>
      </c>
      <c r="S49" s="2" t="str">
        <f>IF(RIGHT(TRIM(Q49),9)="gmail.com","OK","Typo")</f>
        <v>OK</v>
      </c>
      <c r="T49" s="2" t="str">
        <f>A49&amp;D49&amp;G49&amp;I49&amp;K49&amp;N49&amp;Q49</f>
        <v>AhmedFemalelahoreFinanceahmed83@gmail.com</v>
      </c>
      <c r="U49" s="2" t="b">
        <f>COUNTIF(T:T,T49)&gt;1</f>
        <v>0</v>
      </c>
    </row>
    <row r="50" spans="1:21">
      <c r="A50" t="s">
        <v>21</v>
      </c>
      <c r="B50" t="b">
        <f>LEN(TRIM(A50))=0</f>
        <v>0</v>
      </c>
      <c r="C50" t="b">
        <f>COUNTIF(A:A,A50)&gt;1</f>
        <v>1</v>
      </c>
      <c r="D50" t="s">
        <v>30</v>
      </c>
      <c r="E50" t="b">
        <f>LEN(TRIM(D50))=0</f>
        <v>0</v>
      </c>
      <c r="F50" t="b">
        <f>EXACT(D50,PROPER(D50))</f>
        <v>1</v>
      </c>
      <c r="G50">
        <v>41</v>
      </c>
      <c r="H50" t="b">
        <f>LEN(TRIM(G50))=0</f>
        <v>0</v>
      </c>
      <c r="I50" t="s">
        <v>32</v>
      </c>
      <c r="J50" t="b">
        <f>EXACT(I50,PROPER(I50))</f>
        <v>1</v>
      </c>
      <c r="K50" t="s">
        <v>24</v>
      </c>
      <c r="L50" t="str">
        <f>TRIM(K50)</f>
        <v>HR</v>
      </c>
      <c r="M50" t="b">
        <f>K50&lt;&gt;L50</f>
        <v>0</v>
      </c>
      <c r="O50" t="b">
        <f>LEN(TRIM(N50))=0</f>
        <v>1</v>
      </c>
      <c r="P50" t="b">
        <f>AND(N50&gt;0, N50&lt;1000000)</f>
        <v>0</v>
      </c>
      <c r="Q50" t="s">
        <v>79</v>
      </c>
      <c r="R50" s="2" t="b">
        <f>LEN(TRIM(Q50))=0</f>
        <v>0</v>
      </c>
      <c r="S50" s="2" t="str">
        <f>IF(RIGHT(TRIM(Q50),9)="gmail.com","OK","Typo")</f>
        <v>OK</v>
      </c>
      <c r="T50" s="2" t="str">
        <f>A50&amp;D50&amp;G50&amp;I50&amp;K50&amp;N50&amp;Q50</f>
        <v>AhmedFemale41LahoreHRahmed84@gmail.com</v>
      </c>
      <c r="U50" s="2" t="b">
        <f>COUNTIF(T:T,T50)&gt;1</f>
        <v>0</v>
      </c>
    </row>
    <row r="51" spans="1:21">
      <c r="A51" t="s">
        <v>21</v>
      </c>
      <c r="B51" t="b">
        <f>LEN(TRIM(A51))=0</f>
        <v>0</v>
      </c>
      <c r="C51" t="b">
        <f>COUNTIF(A:A,A51)&gt;1</f>
        <v>1</v>
      </c>
      <c r="D51" t="s">
        <v>30</v>
      </c>
      <c r="E51" t="b">
        <f>LEN(TRIM(D51))=0</f>
        <v>0</v>
      </c>
      <c r="F51" t="b">
        <f>EXACT(D51,PROPER(D51))</f>
        <v>1</v>
      </c>
      <c r="H51" t="b">
        <f>LEN(TRIM(G51))=0</f>
        <v>1</v>
      </c>
      <c r="I51" t="s">
        <v>37</v>
      </c>
      <c r="J51" t="b">
        <f>EXACT(I51,PROPER(I51))</f>
        <v>1</v>
      </c>
      <c r="K51" t="s">
        <v>29</v>
      </c>
      <c r="L51" t="str">
        <f>TRIM(K51)</f>
        <v>Finance</v>
      </c>
      <c r="M51" t="b">
        <f>K51&lt;&gt;L51</f>
        <v>0</v>
      </c>
      <c r="O51" t="b">
        <f>LEN(TRIM(N51))=0</f>
        <v>1</v>
      </c>
      <c r="P51" t="b">
        <f>AND(N51&gt;0, N51&lt;1000000)</f>
        <v>0</v>
      </c>
      <c r="Q51" t="s">
        <v>80</v>
      </c>
      <c r="R51" s="2" t="b">
        <f>LEN(TRIM(Q51))=0</f>
        <v>0</v>
      </c>
      <c r="S51" s="2" t="str">
        <f>IF(RIGHT(TRIM(Q51),9)="gmail.com","OK","Typo")</f>
        <v>OK</v>
      </c>
      <c r="T51" s="2" t="str">
        <f>A51&amp;D51&amp;G51&amp;I51&amp;K51&amp;N51&amp;Q51</f>
        <v>AhmedFemaleIslamabadFinanceahmed88@gmail.com</v>
      </c>
      <c r="U51" s="2" t="b">
        <f>COUNTIF(T:T,T51)&gt;1</f>
        <v>0</v>
      </c>
    </row>
    <row r="52" spans="1:21">
      <c r="A52" t="s">
        <v>21</v>
      </c>
      <c r="B52" t="b">
        <f>LEN(TRIM(A52))=0</f>
        <v>0</v>
      </c>
      <c r="C52" t="b">
        <f>COUNTIF(A:A,A52)&gt;1</f>
        <v>1</v>
      </c>
      <c r="D52" t="s">
        <v>30</v>
      </c>
      <c r="E52" t="b">
        <f>LEN(TRIM(D52))=0</f>
        <v>0</v>
      </c>
      <c r="F52" t="b">
        <f>EXACT(D52,PROPER(D52))</f>
        <v>1</v>
      </c>
      <c r="H52" t="b">
        <f>LEN(TRIM(G52))=0</f>
        <v>1</v>
      </c>
      <c r="I52" t="s">
        <v>23</v>
      </c>
      <c r="J52" t="b">
        <f>EXACT(I52,PROPER(I52))</f>
        <v>1</v>
      </c>
      <c r="K52" t="s">
        <v>42</v>
      </c>
      <c r="L52" t="str">
        <f>TRIM(K52)</f>
        <v>IT</v>
      </c>
      <c r="M52" t="b">
        <f>K52&lt;&gt;L52</f>
        <v>0</v>
      </c>
      <c r="O52" t="b">
        <f>LEN(TRIM(N52))=0</f>
        <v>1</v>
      </c>
      <c r="P52" t="b">
        <f>AND(N52&gt;0, N52&lt;1000000)</f>
        <v>0</v>
      </c>
      <c r="Q52" t="s">
        <v>81</v>
      </c>
      <c r="R52" s="2" t="b">
        <f>LEN(TRIM(Q52))=0</f>
        <v>0</v>
      </c>
      <c r="S52" s="2" t="str">
        <f>IF(RIGHT(TRIM(Q52),9)="gmail.com","OK","Typo")</f>
        <v>OK</v>
      </c>
      <c r="T52" s="2" t="str">
        <f>A52&amp;D52&amp;G52&amp;I52&amp;K52&amp;N52&amp;Q52</f>
        <v>AhmedFemaleQuettaITahmed89@gmail.com</v>
      </c>
      <c r="U52" s="2" t="b">
        <f>COUNTIF(T:T,T52)&gt;1</f>
        <v>0</v>
      </c>
    </row>
    <row r="53" spans="1:21">
      <c r="A53" t="s">
        <v>21</v>
      </c>
      <c r="B53" t="b">
        <f>LEN(TRIM(A53))=0</f>
        <v>0</v>
      </c>
      <c r="C53" t="b">
        <f>COUNTIF(A:A,A53)&gt;1</f>
        <v>1</v>
      </c>
      <c r="D53" t="s">
        <v>22</v>
      </c>
      <c r="E53" t="b">
        <f>LEN(TRIM(D53))=0</f>
        <v>0</v>
      </c>
      <c r="F53" t="b">
        <f>EXACT(D53,PROPER(D53))</f>
        <v>1</v>
      </c>
      <c r="G53">
        <v>32</v>
      </c>
      <c r="H53" t="b">
        <f>LEN(TRIM(G53))=0</f>
        <v>0</v>
      </c>
      <c r="I53" t="s">
        <v>37</v>
      </c>
      <c r="J53" t="b">
        <f>EXACT(I53,PROPER(I53))</f>
        <v>1</v>
      </c>
      <c r="K53" t="s">
        <v>24</v>
      </c>
      <c r="L53" t="str">
        <f>TRIM(K53)</f>
        <v>HR</v>
      </c>
      <c r="M53" t="b">
        <f>K53&lt;&gt;L53</f>
        <v>0</v>
      </c>
      <c r="O53" t="b">
        <f>LEN(TRIM(N53))=0</f>
        <v>1</v>
      </c>
      <c r="P53" t="b">
        <f>AND(N53&gt;0, N53&lt;1000000)</f>
        <v>0</v>
      </c>
      <c r="Q53" t="s">
        <v>82</v>
      </c>
      <c r="R53" s="2" t="b">
        <f>LEN(TRIM(Q53))=0</f>
        <v>0</v>
      </c>
      <c r="S53" s="2" t="str">
        <f>IF(RIGHT(TRIM(Q53),9)="gmail.com","OK","Typo")</f>
        <v>OK</v>
      </c>
      <c r="T53" s="2" t="str">
        <f>A53&amp;D53&amp;G53&amp;I53&amp;K53&amp;N53&amp;Q53</f>
        <v>AhmedMale32IslamabadHRahmed90@gmail.com</v>
      </c>
      <c r="U53" s="2" t="b">
        <f>COUNTIF(T:T,T53)&gt;1</f>
        <v>0</v>
      </c>
    </row>
    <row r="54" spans="1:21">
      <c r="A54" t="s">
        <v>21</v>
      </c>
      <c r="B54" t="b">
        <f>LEN(TRIM(A54))=0</f>
        <v>0</v>
      </c>
      <c r="C54" t="b">
        <f>COUNTIF(A:A,A54)&gt;1</f>
        <v>1</v>
      </c>
      <c r="D54" t="s">
        <v>30</v>
      </c>
      <c r="E54" t="b">
        <f>LEN(TRIM(D54))=0</f>
        <v>0</v>
      </c>
      <c r="F54" t="b">
        <f>EXACT(D54,PROPER(D54))</f>
        <v>1</v>
      </c>
      <c r="G54">
        <v>37</v>
      </c>
      <c r="H54" t="b">
        <f>LEN(TRIM(G54))=0</f>
        <v>0</v>
      </c>
      <c r="I54" t="s">
        <v>23</v>
      </c>
      <c r="J54" t="b">
        <f>EXACT(I54,PROPER(I54))</f>
        <v>1</v>
      </c>
      <c r="K54" t="s">
        <v>42</v>
      </c>
      <c r="L54" t="str">
        <f>TRIM(K54)</f>
        <v>IT</v>
      </c>
      <c r="M54" t="b">
        <f>K54&lt;&gt;L54</f>
        <v>0</v>
      </c>
      <c r="O54" t="b">
        <f>LEN(TRIM(N54))=0</f>
        <v>1</v>
      </c>
      <c r="P54" t="b">
        <f>AND(N54&gt;0, N54&lt;1000000)</f>
        <v>0</v>
      </c>
      <c r="Q54" t="s">
        <v>83</v>
      </c>
      <c r="R54" s="2" t="b">
        <f>LEN(TRIM(Q54))=0</f>
        <v>0</v>
      </c>
      <c r="S54" s="2" t="str">
        <f>IF(RIGHT(TRIM(Q54),9)="gmail.com","OK","Typo")</f>
        <v>OK</v>
      </c>
      <c r="T54" s="2" t="str">
        <f>A54&amp;D54&amp;G54&amp;I54&amp;K54&amp;N54&amp;Q54</f>
        <v>AhmedFemale37QuettaITahmed91@gmail.com</v>
      </c>
      <c r="U54" s="2" t="b">
        <f>COUNTIF(T:T,T54)&gt;1</f>
        <v>0</v>
      </c>
    </row>
    <row r="55" spans="1:21">
      <c r="A55" t="s">
        <v>21</v>
      </c>
      <c r="B55" t="b">
        <f>LEN(TRIM(A55))=0</f>
        <v>0</v>
      </c>
      <c r="C55" t="b">
        <f>COUNTIF(A:A,A55)&gt;1</f>
        <v>1</v>
      </c>
      <c r="D55" t="s">
        <v>30</v>
      </c>
      <c r="E55" t="b">
        <f>LEN(TRIM(D55))=0</f>
        <v>0</v>
      </c>
      <c r="F55" t="b">
        <f>EXACT(D55,PROPER(D55))</f>
        <v>1</v>
      </c>
      <c r="H55" t="b">
        <f>LEN(TRIM(G55))=0</f>
        <v>1</v>
      </c>
      <c r="I55" t="s">
        <v>23</v>
      </c>
      <c r="J55" t="b">
        <f>EXACT(I55,PROPER(I55))</f>
        <v>1</v>
      </c>
      <c r="K55" t="s">
        <v>29</v>
      </c>
      <c r="L55" t="str">
        <f>TRIM(K55)</f>
        <v>Finance</v>
      </c>
      <c r="M55" t="b">
        <f>K55&lt;&gt;L55</f>
        <v>0</v>
      </c>
      <c r="O55" t="b">
        <f>LEN(TRIM(N55))=0</f>
        <v>1</v>
      </c>
      <c r="P55" t="b">
        <f>AND(N55&gt;0, N55&lt;1000000)</f>
        <v>0</v>
      </c>
      <c r="Q55" t="s">
        <v>84</v>
      </c>
      <c r="R55" s="2" t="b">
        <f>LEN(TRIM(Q55))=0</f>
        <v>0</v>
      </c>
      <c r="S55" s="2" t="str">
        <f>IF(RIGHT(TRIM(Q55),9)="gmail.com","OK","Typo")</f>
        <v>OK</v>
      </c>
      <c r="T55" s="2" t="str">
        <f>A55&amp;D55&amp;G55&amp;I55&amp;K55&amp;N55&amp;Q55</f>
        <v>AhmedFemaleQuettaFinanceahmed93@gmail.com</v>
      </c>
      <c r="U55" s="2" t="b">
        <f>COUNTIF(T:T,T55)&gt;1</f>
        <v>0</v>
      </c>
    </row>
    <row r="56" spans="1:21">
      <c r="A56" t="s">
        <v>21</v>
      </c>
      <c r="B56" t="b">
        <f>LEN(TRIM(A56))=0</f>
        <v>0</v>
      </c>
      <c r="C56" t="b">
        <f>COUNTIF(A:A,A56)&gt;1</f>
        <v>1</v>
      </c>
      <c r="D56" t="s">
        <v>30</v>
      </c>
      <c r="E56" t="b">
        <f>LEN(TRIM(D56))=0</f>
        <v>0</v>
      </c>
      <c r="F56" t="b">
        <f>EXACT(D56,PROPER(D56))</f>
        <v>1</v>
      </c>
      <c r="G56">
        <v>45</v>
      </c>
      <c r="H56" t="b">
        <f>LEN(TRIM(G56))=0</f>
        <v>0</v>
      </c>
      <c r="I56" t="s">
        <v>37</v>
      </c>
      <c r="J56" t="b">
        <f>EXACT(I56,PROPER(I56))</f>
        <v>1</v>
      </c>
      <c r="K56" t="s">
        <v>38</v>
      </c>
      <c r="L56" t="str">
        <f>TRIM(K56)</f>
        <v>Sales</v>
      </c>
      <c r="M56" t="b">
        <f>K56&lt;&gt;L56</f>
        <v>0</v>
      </c>
      <c r="O56" t="b">
        <f>LEN(TRIM(N56))=0</f>
        <v>1</v>
      </c>
      <c r="P56" t="b">
        <f>AND(N56&gt;0, N56&lt;1000000)</f>
        <v>0</v>
      </c>
      <c r="Q56" t="s">
        <v>85</v>
      </c>
      <c r="R56" s="2" t="b">
        <f>LEN(TRIM(Q56))=0</f>
        <v>0</v>
      </c>
      <c r="S56" s="2" t="str">
        <f>IF(RIGHT(TRIM(Q56),9)="gmail.com","OK","Typo")</f>
        <v>OK</v>
      </c>
      <c r="T56" s="2" t="str">
        <f>A56&amp;D56&amp;G56&amp;I56&amp;K56&amp;N56&amp;Q56</f>
        <v>AhmedFemale45IslamabadSalesahmed94@gmail.com</v>
      </c>
      <c r="U56" s="2" t="b">
        <f>COUNTIF(T:T,T56)&gt;1</f>
        <v>0</v>
      </c>
    </row>
    <row r="57" spans="1:21">
      <c r="A57" t="s">
        <v>21</v>
      </c>
      <c r="B57" t="b">
        <f>LEN(TRIM(A57))=0</f>
        <v>0</v>
      </c>
      <c r="C57" t="b">
        <f>COUNTIF(A:A,A57)&gt;1</f>
        <v>1</v>
      </c>
      <c r="D57" t="s">
        <v>30</v>
      </c>
      <c r="E57" t="b">
        <f>LEN(TRIM(D57))=0</f>
        <v>0</v>
      </c>
      <c r="F57" t="b">
        <f>EXACT(D57,PROPER(D57))</f>
        <v>1</v>
      </c>
      <c r="G57">
        <v>32</v>
      </c>
      <c r="H57" t="b">
        <f>LEN(TRIM(G57))=0</f>
        <v>0</v>
      </c>
      <c r="I57" t="s">
        <v>31</v>
      </c>
      <c r="J57" t="b">
        <f>EXACT(I57,PROPER(I57))</f>
        <v>0</v>
      </c>
      <c r="K57" t="s">
        <v>29</v>
      </c>
      <c r="L57" t="str">
        <f>TRIM(K57)</f>
        <v>Finance</v>
      </c>
      <c r="M57" t="b">
        <f>K57&lt;&gt;L57</f>
        <v>0</v>
      </c>
      <c r="N57">
        <v>79574.320000000007</v>
      </c>
      <c r="O57" t="b">
        <f>LEN(TRIM(N57))=0</f>
        <v>0</v>
      </c>
      <c r="P57" t="b">
        <f>AND(N57&gt;0, N57&lt;1000000)</f>
        <v>1</v>
      </c>
      <c r="Q57" t="s">
        <v>86</v>
      </c>
      <c r="R57" s="2" t="b">
        <f>LEN(TRIM(Q57))=0</f>
        <v>0</v>
      </c>
      <c r="S57" s="2" t="str">
        <f>IF(RIGHT(TRIM(Q57),9)="gmail.com","OK","Typo")</f>
        <v>OK</v>
      </c>
      <c r="T57" s="2" t="str">
        <f>A57&amp;D57&amp;G57&amp;I57&amp;K57&amp;N57&amp;Q57</f>
        <v>AhmedFemale32quettaFinance79574.32ahmed95@gmail.com</v>
      </c>
      <c r="U57" s="2" t="b">
        <f>COUNTIF(T:T,T57)&gt;1</f>
        <v>0</v>
      </c>
    </row>
    <row r="58" spans="1:21">
      <c r="A58" t="s">
        <v>21</v>
      </c>
      <c r="B58" t="b">
        <f>LEN(TRIM(A58))=0</f>
        <v>0</v>
      </c>
      <c r="C58" t="b">
        <f>COUNTIF(A:A,A58)&gt;1</f>
        <v>1</v>
      </c>
      <c r="D58" t="s">
        <v>30</v>
      </c>
      <c r="E58" t="b">
        <f>LEN(TRIM(D58))=0</f>
        <v>0</v>
      </c>
      <c r="F58" t="b">
        <f>EXACT(D58,PROPER(D58))</f>
        <v>1</v>
      </c>
      <c r="G58">
        <v>21</v>
      </c>
      <c r="H58" t="b">
        <f>LEN(TRIM(G58))=0</f>
        <v>0</v>
      </c>
      <c r="I58" t="s">
        <v>32</v>
      </c>
      <c r="J58" t="b">
        <f>EXACT(I58,PROPER(I58))</f>
        <v>1</v>
      </c>
      <c r="K58" t="s">
        <v>29</v>
      </c>
      <c r="L58" t="str">
        <f>TRIM(K58)</f>
        <v>Finance</v>
      </c>
      <c r="M58" t="b">
        <f>K58&lt;&gt;L58</f>
        <v>0</v>
      </c>
      <c r="N58">
        <v>62966.22</v>
      </c>
      <c r="O58" t="b">
        <f>LEN(TRIM(N58))=0</f>
        <v>0</v>
      </c>
      <c r="P58" t="b">
        <f>AND(N58&gt;0, N58&lt;1000000)</f>
        <v>1</v>
      </c>
      <c r="Q58" t="s">
        <v>87</v>
      </c>
      <c r="R58" s="2" t="b">
        <f>LEN(TRIM(Q58))=0</f>
        <v>0</v>
      </c>
      <c r="S58" s="2" t="str">
        <f>IF(RIGHT(TRIM(Q58),9)="gmail.com","OK","Typo")</f>
        <v>OK</v>
      </c>
      <c r="T58" s="2" t="str">
        <f>A58&amp;D58&amp;G58&amp;I58&amp;K58&amp;N58&amp;Q58</f>
        <v>AhmedFemale21LahoreFinance62966.22ahmed96@gmail.com</v>
      </c>
      <c r="U58" s="2" t="b">
        <f>COUNTIF(T:T,T58)&gt;1</f>
        <v>0</v>
      </c>
    </row>
    <row r="59" spans="1:21">
      <c r="A59" t="s">
        <v>21</v>
      </c>
      <c r="B59" t="b">
        <f>LEN(TRIM(A59))=0</f>
        <v>0</v>
      </c>
      <c r="C59" t="b">
        <f>COUNTIF(A:A,A59)&gt;1</f>
        <v>1</v>
      </c>
      <c r="D59" t="s">
        <v>22</v>
      </c>
      <c r="E59" t="b">
        <f>LEN(TRIM(D59))=0</f>
        <v>0</v>
      </c>
      <c r="F59" t="b">
        <f>EXACT(D59,PROPER(D59))</f>
        <v>1</v>
      </c>
      <c r="H59" t="b">
        <f>LEN(TRIM(G59))=0</f>
        <v>1</v>
      </c>
      <c r="I59" t="s">
        <v>28</v>
      </c>
      <c r="J59" t="b">
        <f>EXACT(I59,PROPER(I59))</f>
        <v>1</v>
      </c>
      <c r="K59" t="s">
        <v>42</v>
      </c>
      <c r="L59" t="str">
        <f>TRIM(K59)</f>
        <v>IT</v>
      </c>
      <c r="M59" t="b">
        <f>K59&lt;&gt;L59</f>
        <v>0</v>
      </c>
      <c r="O59" t="b">
        <f>LEN(TRIM(N59))=0</f>
        <v>1</v>
      </c>
      <c r="P59" t="b">
        <f>AND(N59&gt;0, N59&lt;1000000)</f>
        <v>0</v>
      </c>
      <c r="Q59" t="s">
        <v>88</v>
      </c>
      <c r="R59" s="2" t="b">
        <f>LEN(TRIM(Q59))=0</f>
        <v>0</v>
      </c>
      <c r="S59" s="2" t="str">
        <f>IF(RIGHT(TRIM(Q59),9)="gmail.com","OK","Typo")</f>
        <v>OK</v>
      </c>
      <c r="T59" s="2" t="str">
        <f>A59&amp;D59&amp;G59&amp;I59&amp;K59&amp;N59&amp;Q59</f>
        <v>AhmedMaleKarachiITahmed97@gmail.com</v>
      </c>
      <c r="U59" s="2" t="b">
        <f>COUNTIF(T:T,T59)&gt;1</f>
        <v>0</v>
      </c>
    </row>
    <row r="60" spans="1:21">
      <c r="A60" t="s">
        <v>21</v>
      </c>
      <c r="B60" t="b">
        <f>LEN(TRIM(A60))=0</f>
        <v>0</v>
      </c>
      <c r="C60" t="b">
        <f>COUNTIF(A:A,A60)&gt;1</f>
        <v>1</v>
      </c>
      <c r="D60" t="s">
        <v>30</v>
      </c>
      <c r="E60" t="b">
        <f>LEN(TRIM(D60))=0</f>
        <v>0</v>
      </c>
      <c r="F60" t="b">
        <f>EXACT(D60,PROPER(D60))</f>
        <v>1</v>
      </c>
      <c r="G60">
        <v>48</v>
      </c>
      <c r="H60" t="b">
        <f>LEN(TRIM(G60))=0</f>
        <v>0</v>
      </c>
      <c r="I60" t="s">
        <v>37</v>
      </c>
      <c r="J60" t="b">
        <f>EXACT(I60,PROPER(I60))</f>
        <v>1</v>
      </c>
      <c r="K60" t="s">
        <v>24</v>
      </c>
      <c r="L60" t="str">
        <f>TRIM(K60)</f>
        <v>HR</v>
      </c>
      <c r="M60" t="b">
        <f>K60&lt;&gt;L60</f>
        <v>0</v>
      </c>
      <c r="N60">
        <v>53055.34</v>
      </c>
      <c r="O60" t="b">
        <f>LEN(TRIM(N60))=0</f>
        <v>0</v>
      </c>
      <c r="P60" t="b">
        <f>AND(N60&gt;0, N60&lt;1000000)</f>
        <v>1</v>
      </c>
      <c r="Q60" t="s">
        <v>89</v>
      </c>
      <c r="R60" s="2" t="b">
        <f>LEN(TRIM(Q60))=0</f>
        <v>0</v>
      </c>
      <c r="S60" s="2" t="str">
        <f>IF(RIGHT(TRIM(Q60),9)="gmail.com","OK","Typo")</f>
        <v>OK</v>
      </c>
      <c r="T60" s="2" t="str">
        <f>A60&amp;D60&amp;G60&amp;I60&amp;K60&amp;N60&amp;Q60</f>
        <v>AhmedFemale48IslamabadHR53055.34ahmed98@gmail.com</v>
      </c>
      <c r="U60" s="2" t="b">
        <f>COUNTIF(T:T,T60)&gt;1</f>
        <v>0</v>
      </c>
    </row>
    <row r="61" spans="1:21">
      <c r="A61" t="s">
        <v>21</v>
      </c>
      <c r="B61" t="b">
        <f>LEN(TRIM(A61))=0</f>
        <v>0</v>
      </c>
      <c r="C61" t="b">
        <f>COUNTIF(A:A,A61)&gt;1</f>
        <v>1</v>
      </c>
      <c r="D61" t="s">
        <v>22</v>
      </c>
      <c r="E61" t="b">
        <f>LEN(TRIM(D61))=0</f>
        <v>0</v>
      </c>
      <c r="F61" t="b">
        <f>EXACT(D61,PROPER(D61))</f>
        <v>1</v>
      </c>
      <c r="G61">
        <v>34</v>
      </c>
      <c r="H61" t="b">
        <f>LEN(TRIM(G61))=0</f>
        <v>0</v>
      </c>
      <c r="I61" t="s">
        <v>37</v>
      </c>
      <c r="J61" t="b">
        <f>EXACT(I61,PROPER(I61))</f>
        <v>1</v>
      </c>
      <c r="K61" t="s">
        <v>38</v>
      </c>
      <c r="L61" t="str">
        <f>TRIM(K61)</f>
        <v>Sales</v>
      </c>
      <c r="M61" t="b">
        <f>K61&lt;&gt;L61</f>
        <v>0</v>
      </c>
      <c r="O61" t="b">
        <f>LEN(TRIM(N61))=0</f>
        <v>1</v>
      </c>
      <c r="P61" t="b">
        <f>AND(N61&gt;0, N61&lt;1000000)</f>
        <v>0</v>
      </c>
      <c r="Q61" t="s">
        <v>89</v>
      </c>
      <c r="R61" s="2" t="b">
        <f>LEN(TRIM(Q61))=0</f>
        <v>0</v>
      </c>
      <c r="S61" s="2" t="str">
        <f>IF(RIGHT(TRIM(Q61),9)="gmail.com","OK","Typo")</f>
        <v>OK</v>
      </c>
      <c r="T61" s="2" t="str">
        <f>A61&amp;D61&amp;G61&amp;I61&amp;K61&amp;N61&amp;Q61</f>
        <v>AhmedMale34IslamabadSalesahmed98@gmail.com</v>
      </c>
      <c r="U61" s="2" t="b">
        <f>COUNTIF(T:T,T61)&gt;1</f>
        <v>0</v>
      </c>
    </row>
    <row r="62" spans="1:21">
      <c r="A62" t="s">
        <v>21</v>
      </c>
      <c r="B62" t="b">
        <f>LEN(TRIM(A62))=0</f>
        <v>0</v>
      </c>
      <c r="C62" t="b">
        <f>COUNTIF(A:A,A62)&gt;1</f>
        <v>1</v>
      </c>
      <c r="D62" t="s">
        <v>22</v>
      </c>
      <c r="E62" t="b">
        <f>LEN(TRIM(D62))=0</f>
        <v>0</v>
      </c>
      <c r="F62" t="b">
        <f>EXACT(D62,PROPER(D62))</f>
        <v>1</v>
      </c>
      <c r="G62">
        <v>20</v>
      </c>
      <c r="H62" t="b">
        <f>LEN(TRIM(G62))=0</f>
        <v>0</v>
      </c>
      <c r="I62" t="s">
        <v>37</v>
      </c>
      <c r="J62" t="b">
        <f>EXACT(I62,PROPER(I62))</f>
        <v>1</v>
      </c>
      <c r="K62" t="s">
        <v>38</v>
      </c>
      <c r="L62" t="str">
        <f>TRIM(K62)</f>
        <v>Sales</v>
      </c>
      <c r="M62" t="b">
        <f>K62&lt;&gt;L62</f>
        <v>0</v>
      </c>
      <c r="O62" t="b">
        <f>LEN(TRIM(N62))=0</f>
        <v>1</v>
      </c>
      <c r="P62" t="b">
        <f>AND(N62&gt;0, N62&lt;1000000)</f>
        <v>0</v>
      </c>
      <c r="Q62" t="s">
        <v>90</v>
      </c>
      <c r="R62" s="2" t="b">
        <f>LEN(TRIM(Q62))=0</f>
        <v>0</v>
      </c>
      <c r="S62" s="2" t="str">
        <f>IF(RIGHT(TRIM(Q62),9)="gmail.com","OK","Typo")</f>
        <v>OK</v>
      </c>
      <c r="T62" s="2" t="str">
        <f>A62&amp;D62&amp;G62&amp;I62&amp;K62&amp;N62&amp;Q62</f>
        <v>AhmedMale20IslamabadSalesahmed99@gmail.com</v>
      </c>
      <c r="U62" s="2" t="b">
        <f>COUNTIF(T:T,T62)&gt;1</f>
        <v>0</v>
      </c>
    </row>
    <row r="63" spans="1:21">
      <c r="A63" t="s">
        <v>21</v>
      </c>
      <c r="B63" t="b">
        <f>LEN(TRIM(A63))=0</f>
        <v>0</v>
      </c>
      <c r="C63" t="b">
        <f>COUNTIF(A:A,A63)&gt;1</f>
        <v>1</v>
      </c>
      <c r="D63" t="s">
        <v>22</v>
      </c>
      <c r="E63" t="b">
        <f>LEN(TRIM(D63))=0</f>
        <v>0</v>
      </c>
      <c r="F63" t="b">
        <f>EXACT(D63,PROPER(D63))</f>
        <v>1</v>
      </c>
      <c r="H63" t="b">
        <f>LEN(TRIM(G63))=0</f>
        <v>1</v>
      </c>
      <c r="I63" t="s">
        <v>66</v>
      </c>
      <c r="J63" t="b">
        <f>EXACT(I63,PROPER(I63))</f>
        <v>0</v>
      </c>
      <c r="K63" t="s">
        <v>29</v>
      </c>
      <c r="L63" t="str">
        <f>TRIM(K63)</f>
        <v>Finance</v>
      </c>
      <c r="M63" t="b">
        <f>K63&lt;&gt;L63</f>
        <v>0</v>
      </c>
      <c r="O63" t="b">
        <f>LEN(TRIM(N63))=0</f>
        <v>1</v>
      </c>
      <c r="P63" t="b">
        <f>AND(N63&gt;0, N63&lt;1000000)</f>
        <v>0</v>
      </c>
      <c r="Q63" t="s">
        <v>90</v>
      </c>
      <c r="R63" s="2" t="b">
        <f>LEN(TRIM(Q63))=0</f>
        <v>0</v>
      </c>
      <c r="S63" s="2" t="str">
        <f>IF(RIGHT(TRIM(Q63),9)="gmail.com","OK","Typo")</f>
        <v>OK</v>
      </c>
      <c r="T63" s="2" t="str">
        <f>A63&amp;D63&amp;G63&amp;I63&amp;K63&amp;N63&amp;Q63</f>
        <v>AhmedMalekarachiFinanceahmed99@gmail.com</v>
      </c>
      <c r="U63" s="2" t="b">
        <f>COUNTIF(T:T,T63)&gt;1</f>
        <v>0</v>
      </c>
    </row>
    <row r="64" spans="1:21">
      <c r="A64" t="s">
        <v>91</v>
      </c>
      <c r="B64" t="b">
        <f>LEN(TRIM(A64))=0</f>
        <v>0</v>
      </c>
      <c r="C64" t="b">
        <f>COUNTIF(A:A,A64)&gt;1</f>
        <v>1</v>
      </c>
      <c r="D64" t="s">
        <v>22</v>
      </c>
      <c r="E64" t="b">
        <f>LEN(TRIM(D64))=0</f>
        <v>0</v>
      </c>
      <c r="F64" t="b">
        <f>EXACT(D64,PROPER(D64))</f>
        <v>1</v>
      </c>
      <c r="G64">
        <v>23</v>
      </c>
      <c r="H64" t="b">
        <f>LEN(TRIM(G64))=0</f>
        <v>0</v>
      </c>
      <c r="I64" t="s">
        <v>45</v>
      </c>
      <c r="J64" t="b">
        <f>EXACT(I64,PROPER(I64))</f>
        <v>1</v>
      </c>
      <c r="K64" t="s">
        <v>38</v>
      </c>
      <c r="L64" t="str">
        <f>TRIM(K64)</f>
        <v>Sales</v>
      </c>
      <c r="M64" t="b">
        <f>K64&lt;&gt;L64</f>
        <v>0</v>
      </c>
      <c r="N64">
        <v>54076.26</v>
      </c>
      <c r="O64" t="b">
        <f>LEN(TRIM(N64))=0</f>
        <v>0</v>
      </c>
      <c r="P64" t="b">
        <f>AND(N64&gt;0, N64&lt;1000000)</f>
        <v>1</v>
      </c>
      <c r="Q64" t="s">
        <v>92</v>
      </c>
      <c r="R64" s="2" t="b">
        <f>LEN(TRIM(Q64))=0</f>
        <v>0</v>
      </c>
      <c r="S64" s="2" t="str">
        <f>IF(RIGHT(TRIM(Q64),9)="gmail.com","OK","Typo")</f>
        <v>OK</v>
      </c>
      <c r="T64" s="2" t="str">
        <f>A64&amp;D64&amp;G64&amp;I64&amp;K64&amp;N64&amp;Q64</f>
        <v>AliMale23PeshawarSales54076.26ali10@gmail.com</v>
      </c>
      <c r="U64" s="2" t="b">
        <f>COUNTIF(T:T,T64)&gt;1</f>
        <v>0</v>
      </c>
    </row>
    <row r="65" spans="1:21">
      <c r="A65" t="s">
        <v>91</v>
      </c>
      <c r="B65" t="b">
        <f>LEN(TRIM(A65))=0</f>
        <v>0</v>
      </c>
      <c r="C65" t="b">
        <f>COUNTIF(A:A,A65)&gt;1</f>
        <v>1</v>
      </c>
      <c r="D65" t="s">
        <v>30</v>
      </c>
      <c r="E65" t="b">
        <f>LEN(TRIM(D65))=0</f>
        <v>0</v>
      </c>
      <c r="F65" t="b">
        <f>EXACT(D65,PROPER(D65))</f>
        <v>1</v>
      </c>
      <c r="H65" t="b">
        <f>LEN(TRIM(G65))=0</f>
        <v>1</v>
      </c>
      <c r="I65" t="s">
        <v>23</v>
      </c>
      <c r="J65" t="b">
        <f>EXACT(I65,PROPER(I65))</f>
        <v>1</v>
      </c>
      <c r="K65" t="s">
        <v>24</v>
      </c>
      <c r="L65" t="str">
        <f>TRIM(K65)</f>
        <v>HR</v>
      </c>
      <c r="M65" t="b">
        <f>K65&lt;&gt;L65</f>
        <v>0</v>
      </c>
      <c r="O65" t="b">
        <f>LEN(TRIM(N65))=0</f>
        <v>1</v>
      </c>
      <c r="P65" t="b">
        <f>AND(N65&gt;0, N65&lt;1000000)</f>
        <v>0</v>
      </c>
      <c r="Q65" t="s">
        <v>92</v>
      </c>
      <c r="R65" s="2" t="b">
        <f>LEN(TRIM(Q65))=0</f>
        <v>0</v>
      </c>
      <c r="S65" s="2" t="str">
        <f>IF(RIGHT(TRIM(Q65),9)="gmail.com","OK","Typo")</f>
        <v>OK</v>
      </c>
      <c r="T65" s="2" t="str">
        <f>A65&amp;D65&amp;G65&amp;I65&amp;K65&amp;N65&amp;Q65</f>
        <v>AliFemaleQuettaHRali10@gmail.com</v>
      </c>
      <c r="U65" s="2" t="b">
        <f>COUNTIF(T:T,T65)&gt;1</f>
        <v>0</v>
      </c>
    </row>
    <row r="66" spans="1:21">
      <c r="A66" t="s">
        <v>91</v>
      </c>
      <c r="B66" t="b">
        <f>LEN(TRIM(A66))=0</f>
        <v>0</v>
      </c>
      <c r="C66" t="b">
        <f>COUNTIF(A:A,A66)&gt;1</f>
        <v>1</v>
      </c>
      <c r="D66" t="s">
        <v>30</v>
      </c>
      <c r="E66" t="b">
        <f>LEN(TRIM(D66))=0</f>
        <v>0</v>
      </c>
      <c r="F66" t="b">
        <f>EXACT(D66,PROPER(D66))</f>
        <v>1</v>
      </c>
      <c r="G66">
        <v>44</v>
      </c>
      <c r="H66" t="b">
        <f>LEN(TRIM(G66))=0</f>
        <v>0</v>
      </c>
      <c r="I66" t="s">
        <v>32</v>
      </c>
      <c r="J66" t="b">
        <f>EXACT(I66,PROPER(I66))</f>
        <v>1</v>
      </c>
      <c r="K66" t="s">
        <v>35</v>
      </c>
      <c r="L66" t="str">
        <f>TRIM(K66)</f>
        <v>Marketing</v>
      </c>
      <c r="M66" t="b">
        <f>K66&lt;&gt;L66</f>
        <v>0</v>
      </c>
      <c r="N66">
        <v>93407.05</v>
      </c>
      <c r="O66" t="b">
        <f>LEN(TRIM(N66))=0</f>
        <v>0</v>
      </c>
      <c r="P66" t="b">
        <f>AND(N66&gt;0, N66&lt;1000000)</f>
        <v>1</v>
      </c>
      <c r="Q66" t="s">
        <v>93</v>
      </c>
      <c r="R66" s="2" t="b">
        <f>LEN(TRIM(Q66))=0</f>
        <v>0</v>
      </c>
      <c r="S66" s="2" t="str">
        <f>IF(RIGHT(TRIM(Q66),9)="gmail.com","OK","Typo")</f>
        <v>OK</v>
      </c>
      <c r="T66" s="2" t="str">
        <f>A66&amp;D66&amp;G66&amp;I66&amp;K66&amp;N66&amp;Q66</f>
        <v>AliFemale44LahoreMarketing93407.05ali12@gmail.com</v>
      </c>
      <c r="U66" s="2" t="b">
        <f>COUNTIF(T:T,T66)&gt;1</f>
        <v>0</v>
      </c>
    </row>
    <row r="67" spans="1:21">
      <c r="A67" t="s">
        <v>91</v>
      </c>
      <c r="B67" t="b">
        <f>LEN(TRIM(A67))=0</f>
        <v>0</v>
      </c>
      <c r="C67" t="b">
        <f>COUNTIF(A:A,A67)&gt;1</f>
        <v>1</v>
      </c>
      <c r="D67" t="s">
        <v>30</v>
      </c>
      <c r="E67" t="b">
        <f>LEN(TRIM(D67))=0</f>
        <v>0</v>
      </c>
      <c r="F67" t="b">
        <f>EXACT(D67,PROPER(D67))</f>
        <v>1</v>
      </c>
      <c r="G67">
        <v>46</v>
      </c>
      <c r="H67" t="b">
        <f>LEN(TRIM(G67))=0</f>
        <v>0</v>
      </c>
      <c r="I67" t="s">
        <v>37</v>
      </c>
      <c r="J67" t="b">
        <f>EXACT(I67,PROPER(I67))</f>
        <v>1</v>
      </c>
      <c r="K67" t="s">
        <v>24</v>
      </c>
      <c r="L67" t="str">
        <f>TRIM(K67)</f>
        <v>HR</v>
      </c>
      <c r="M67" t="b">
        <f>K67&lt;&gt;L67</f>
        <v>0</v>
      </c>
      <c r="N67">
        <v>138374.13</v>
      </c>
      <c r="O67" t="b">
        <f>LEN(TRIM(N67))=0</f>
        <v>0</v>
      </c>
      <c r="P67" t="b">
        <f>AND(N67&gt;0, N67&lt;1000000)</f>
        <v>1</v>
      </c>
      <c r="Q67" t="s">
        <v>94</v>
      </c>
      <c r="R67" s="2" t="b">
        <f>LEN(TRIM(Q67))=0</f>
        <v>0</v>
      </c>
      <c r="S67" s="2" t="str">
        <f>IF(RIGHT(TRIM(Q67),9)="gmail.com","OK","Typo")</f>
        <v>OK</v>
      </c>
      <c r="T67" s="2" t="str">
        <f>A67&amp;D67&amp;G67&amp;I67&amp;K67&amp;N67&amp;Q67</f>
        <v>AliFemale46IslamabadHR138374.13ali17@gmail.com</v>
      </c>
      <c r="U67" s="2" t="b">
        <f>COUNTIF(T:T,T67)&gt;1</f>
        <v>0</v>
      </c>
    </row>
    <row r="68" spans="1:21">
      <c r="A68" t="s">
        <v>91</v>
      </c>
      <c r="B68" t="b">
        <f>LEN(TRIM(A68))=0</f>
        <v>0</v>
      </c>
      <c r="C68" t="b">
        <f>COUNTIF(A:A,A68)&gt;1</f>
        <v>1</v>
      </c>
      <c r="D68" t="s">
        <v>22</v>
      </c>
      <c r="E68" t="b">
        <f>LEN(TRIM(D68))=0</f>
        <v>0</v>
      </c>
      <c r="F68" t="b">
        <f>EXACT(D68,PROPER(D68))</f>
        <v>1</v>
      </c>
      <c r="H68" t="b">
        <f>LEN(TRIM(G68))=0</f>
        <v>1</v>
      </c>
      <c r="I68" t="s">
        <v>45</v>
      </c>
      <c r="J68" t="b">
        <f>EXACT(I68,PROPER(I68))</f>
        <v>1</v>
      </c>
      <c r="K68" t="s">
        <v>38</v>
      </c>
      <c r="L68" t="str">
        <f>TRIM(K68)</f>
        <v>Sales</v>
      </c>
      <c r="M68" t="b">
        <f>K68&lt;&gt;L68</f>
        <v>0</v>
      </c>
      <c r="O68" t="b">
        <f>LEN(TRIM(N68))=0</f>
        <v>1</v>
      </c>
      <c r="P68" t="b">
        <f>AND(N68&gt;0, N68&lt;1000000)</f>
        <v>0</v>
      </c>
      <c r="Q68" t="s">
        <v>95</v>
      </c>
      <c r="R68" s="2" t="b">
        <f>LEN(TRIM(Q68))=0</f>
        <v>0</v>
      </c>
      <c r="S68" s="2" t="str">
        <f>IF(RIGHT(TRIM(Q68),9)="gmail.com","OK","Typo")</f>
        <v>OK</v>
      </c>
      <c r="T68" s="2" t="str">
        <f>A68&amp;D68&amp;G68&amp;I68&amp;K68&amp;N68&amp;Q68</f>
        <v>AliMalePeshawarSalesali18@gmail.com</v>
      </c>
      <c r="U68" s="2" t="b">
        <f>COUNTIF(T:T,T68)&gt;1</f>
        <v>0</v>
      </c>
    </row>
    <row r="69" spans="1:21">
      <c r="A69" t="s">
        <v>91</v>
      </c>
      <c r="B69" t="b">
        <f>LEN(TRIM(A69))=0</f>
        <v>0</v>
      </c>
      <c r="C69" t="b">
        <f>COUNTIF(A:A,A69)&gt;1</f>
        <v>1</v>
      </c>
      <c r="D69" t="s">
        <v>22</v>
      </c>
      <c r="E69" t="b">
        <f>LEN(TRIM(D69))=0</f>
        <v>0</v>
      </c>
      <c r="F69" t="b">
        <f>EXACT(D69,PROPER(D69))</f>
        <v>1</v>
      </c>
      <c r="G69">
        <v>32</v>
      </c>
      <c r="H69" t="b">
        <f>LEN(TRIM(G69))=0</f>
        <v>0</v>
      </c>
      <c r="I69" t="s">
        <v>28</v>
      </c>
      <c r="J69" t="b">
        <f>EXACT(I69,PROPER(I69))</f>
        <v>1</v>
      </c>
      <c r="K69" t="s">
        <v>24</v>
      </c>
      <c r="L69" t="str">
        <f>TRIM(K69)</f>
        <v>HR</v>
      </c>
      <c r="M69" t="b">
        <f>K69&lt;&gt;L69</f>
        <v>0</v>
      </c>
      <c r="N69">
        <v>141627.99</v>
      </c>
      <c r="O69" t="b">
        <f>LEN(TRIM(N69))=0</f>
        <v>0</v>
      </c>
      <c r="P69" t="b">
        <f>AND(N69&gt;0, N69&lt;1000000)</f>
        <v>1</v>
      </c>
      <c r="Q69" t="s">
        <v>96</v>
      </c>
      <c r="R69" s="2" t="b">
        <f>LEN(TRIM(Q69))=0</f>
        <v>0</v>
      </c>
      <c r="S69" s="2" t="str">
        <f>IF(RIGHT(TRIM(Q69),9)="gmail.com","OK","Typo")</f>
        <v>OK</v>
      </c>
      <c r="T69" s="2" t="str">
        <f>A69&amp;D69&amp;G69&amp;I69&amp;K69&amp;N69&amp;Q69</f>
        <v>AliMale32KarachiHR141627.99ali19@gmail.com</v>
      </c>
      <c r="U69" s="2" t="b">
        <f>COUNTIF(T:T,T69)&gt;1</f>
        <v>0</v>
      </c>
    </row>
    <row r="70" spans="1:21">
      <c r="A70" t="s">
        <v>91</v>
      </c>
      <c r="B70" t="b">
        <f>LEN(TRIM(A70))=0</f>
        <v>0</v>
      </c>
      <c r="C70" t="b">
        <f>COUNTIF(A:A,A70)&gt;1</f>
        <v>1</v>
      </c>
      <c r="D70" t="s">
        <v>30</v>
      </c>
      <c r="E70" t="b">
        <f>LEN(TRIM(D70))=0</f>
        <v>0</v>
      </c>
      <c r="F70" t="b">
        <f>EXACT(D70,PROPER(D70))</f>
        <v>1</v>
      </c>
      <c r="G70">
        <v>27</v>
      </c>
      <c r="H70" t="b">
        <f>LEN(TRIM(G70))=0</f>
        <v>0</v>
      </c>
      <c r="I70" t="s">
        <v>32</v>
      </c>
      <c r="J70" t="b">
        <f>EXACT(I70,PROPER(I70))</f>
        <v>1</v>
      </c>
      <c r="K70" t="s">
        <v>29</v>
      </c>
      <c r="L70" t="str">
        <f>TRIM(K70)</f>
        <v>Finance</v>
      </c>
      <c r="M70" t="b">
        <f>K70&lt;&gt;L70</f>
        <v>0</v>
      </c>
      <c r="N70">
        <v>70299.03</v>
      </c>
      <c r="O70" t="b">
        <f>LEN(TRIM(N70))=0</f>
        <v>0</v>
      </c>
      <c r="P70" t="b">
        <f>AND(N70&gt;0, N70&lt;1000000)</f>
        <v>1</v>
      </c>
      <c r="Q70" t="s">
        <v>97</v>
      </c>
      <c r="R70" s="2" t="b">
        <f>LEN(TRIM(Q70))=0</f>
        <v>0</v>
      </c>
      <c r="S70" s="2" t="str">
        <f>IF(RIGHT(TRIM(Q70),9)="gmail.com","OK","Typo")</f>
        <v>OK</v>
      </c>
      <c r="T70" s="2" t="str">
        <f>A70&amp;D70&amp;G70&amp;I70&amp;K70&amp;N70&amp;Q70</f>
        <v>AliFemale27LahoreFinance70299.03ali2@gmail.com</v>
      </c>
      <c r="U70" s="2" t="b">
        <f>COUNTIF(T:T,T70)&gt;1</f>
        <v>0</v>
      </c>
    </row>
    <row r="71" spans="1:21">
      <c r="A71" t="s">
        <v>91</v>
      </c>
      <c r="B71" t="b">
        <f>LEN(TRIM(A71))=0</f>
        <v>0</v>
      </c>
      <c r="C71" t="b">
        <f>COUNTIF(A:A,A71)&gt;1</f>
        <v>1</v>
      </c>
      <c r="D71" t="s">
        <v>22</v>
      </c>
      <c r="E71" t="b">
        <f>LEN(TRIM(D71))=0</f>
        <v>0</v>
      </c>
      <c r="F71" t="b">
        <f>EXACT(D71,PROPER(D71))</f>
        <v>1</v>
      </c>
      <c r="H71" t="b">
        <f>LEN(TRIM(G71))=0</f>
        <v>1</v>
      </c>
      <c r="I71" t="s">
        <v>23</v>
      </c>
      <c r="J71" t="b">
        <f>EXACT(I71,PROPER(I71))</f>
        <v>1</v>
      </c>
      <c r="K71" t="s">
        <v>24</v>
      </c>
      <c r="L71" t="str">
        <f>TRIM(K71)</f>
        <v>HR</v>
      </c>
      <c r="M71" t="b">
        <f>K71&lt;&gt;L71</f>
        <v>0</v>
      </c>
      <c r="N71">
        <v>127909.72</v>
      </c>
      <c r="O71" t="b">
        <f>LEN(TRIM(N71))=0</f>
        <v>0</v>
      </c>
      <c r="P71" t="b">
        <f>AND(N71&gt;0, N71&lt;1000000)</f>
        <v>1</v>
      </c>
      <c r="Q71" t="s">
        <v>98</v>
      </c>
      <c r="R71" s="2" t="b">
        <f>LEN(TRIM(Q71))=0</f>
        <v>0</v>
      </c>
      <c r="S71" s="2" t="str">
        <f>IF(RIGHT(TRIM(Q71),9)="gmail.com","OK","Typo")</f>
        <v>OK</v>
      </c>
      <c r="T71" s="2" t="str">
        <f>A71&amp;D71&amp;G71&amp;I71&amp;K71&amp;N71&amp;Q71</f>
        <v>AliMaleQuettaHR127909.72ali24@gmail.com</v>
      </c>
      <c r="U71" s="2" t="b">
        <f>COUNTIF(T:T,T71)&gt;1</f>
        <v>0</v>
      </c>
    </row>
    <row r="72" spans="1:21">
      <c r="A72" t="s">
        <v>91</v>
      </c>
      <c r="B72" t="b">
        <f>LEN(TRIM(A72))=0</f>
        <v>0</v>
      </c>
      <c r="C72" t="b">
        <f>COUNTIF(A:A,A72)&gt;1</f>
        <v>1</v>
      </c>
      <c r="D72" t="s">
        <v>30</v>
      </c>
      <c r="E72" t="b">
        <f>LEN(TRIM(D72))=0</f>
        <v>0</v>
      </c>
      <c r="F72" t="b">
        <f>EXACT(D72,PROPER(D72))</f>
        <v>1</v>
      </c>
      <c r="H72" t="b">
        <f>LEN(TRIM(G72))=0</f>
        <v>1</v>
      </c>
      <c r="I72" t="s">
        <v>37</v>
      </c>
      <c r="J72" t="b">
        <f>EXACT(I72,PROPER(I72))</f>
        <v>1</v>
      </c>
      <c r="K72" t="s">
        <v>24</v>
      </c>
      <c r="L72" t="str">
        <f>TRIM(K72)</f>
        <v>HR</v>
      </c>
      <c r="M72" t="b">
        <f>K72&lt;&gt;L72</f>
        <v>0</v>
      </c>
      <c r="O72" t="b">
        <f>LEN(TRIM(N72))=0</f>
        <v>1</v>
      </c>
      <c r="P72" t="b">
        <f>AND(N72&gt;0, N72&lt;1000000)</f>
        <v>0</v>
      </c>
      <c r="Q72" t="s">
        <v>99</v>
      </c>
      <c r="R72" s="2" t="b">
        <f>LEN(TRIM(Q72))=0</f>
        <v>0</v>
      </c>
      <c r="S72" s="2" t="str">
        <f>IF(RIGHT(TRIM(Q72),9)="gmail.com","OK","Typo")</f>
        <v>OK</v>
      </c>
      <c r="T72" s="2" t="str">
        <f>A72&amp;D72&amp;G72&amp;I72&amp;K72&amp;N72&amp;Q72</f>
        <v>AliFemaleIslamabadHRali25@gmail.com</v>
      </c>
      <c r="U72" s="2" t="b">
        <f>COUNTIF(T:T,T72)&gt;1</f>
        <v>0</v>
      </c>
    </row>
    <row r="73" spans="1:21">
      <c r="A73" t="s">
        <v>91</v>
      </c>
      <c r="B73" t="b">
        <f>LEN(TRIM(A73))=0</f>
        <v>0</v>
      </c>
      <c r="C73" t="b">
        <f>COUNTIF(A:A,A73)&gt;1</f>
        <v>1</v>
      </c>
      <c r="D73" t="s">
        <v>30</v>
      </c>
      <c r="E73" t="b">
        <f>LEN(TRIM(D73))=0</f>
        <v>0</v>
      </c>
      <c r="F73" t="b">
        <f>EXACT(D73,PROPER(D73))</f>
        <v>1</v>
      </c>
      <c r="G73">
        <v>51</v>
      </c>
      <c r="H73" t="b">
        <f>LEN(TRIM(G73))=0</f>
        <v>0</v>
      </c>
      <c r="I73" t="s">
        <v>23</v>
      </c>
      <c r="J73" t="b">
        <f>EXACT(I73,PROPER(I73))</f>
        <v>1</v>
      </c>
      <c r="K73" t="s">
        <v>35</v>
      </c>
      <c r="L73" t="str">
        <f>TRIM(K73)</f>
        <v>Marketing</v>
      </c>
      <c r="M73" t="b">
        <f>K73&lt;&gt;L73</f>
        <v>0</v>
      </c>
      <c r="N73">
        <v>39374.410000000003</v>
      </c>
      <c r="O73" t="b">
        <f>LEN(TRIM(N73))=0</f>
        <v>0</v>
      </c>
      <c r="P73" t="b">
        <f>AND(N73&gt;0, N73&lt;1000000)</f>
        <v>1</v>
      </c>
      <c r="Q73" t="s">
        <v>100</v>
      </c>
      <c r="R73" s="2" t="b">
        <f>LEN(TRIM(Q73))=0</f>
        <v>0</v>
      </c>
      <c r="S73" s="2" t="str">
        <f>IF(RIGHT(TRIM(Q73),9)="gmail.com","OK","Typo")</f>
        <v>OK</v>
      </c>
      <c r="T73" s="2" t="str">
        <f>A73&amp;D73&amp;G73&amp;I73&amp;K73&amp;N73&amp;Q73</f>
        <v>AliFemale51QuettaMarketing39374.41ali26@gmail.com</v>
      </c>
      <c r="U73" s="2" t="b">
        <f>COUNTIF(T:T,T73)&gt;1</f>
        <v>0</v>
      </c>
    </row>
    <row r="74" spans="1:21">
      <c r="A74" t="s">
        <v>91</v>
      </c>
      <c r="B74" t="b">
        <f>LEN(TRIM(A74))=0</f>
        <v>0</v>
      </c>
      <c r="C74" t="b">
        <f>COUNTIF(A:A,A74)&gt;1</f>
        <v>1</v>
      </c>
      <c r="D74" t="s">
        <v>30</v>
      </c>
      <c r="E74" t="b">
        <f>LEN(TRIM(D74))=0</f>
        <v>0</v>
      </c>
      <c r="F74" t="b">
        <f>EXACT(D74,PROPER(D74))</f>
        <v>1</v>
      </c>
      <c r="H74" t="b">
        <f>LEN(TRIM(G74))=0</f>
        <v>1</v>
      </c>
      <c r="I74" t="s">
        <v>101</v>
      </c>
      <c r="J74" t="b">
        <f>EXACT(I74,PROPER(I74))</f>
        <v>0</v>
      </c>
      <c r="K74" t="s">
        <v>47</v>
      </c>
      <c r="L74" t="str">
        <f>TRIM(K74)</f>
        <v>Sales</v>
      </c>
      <c r="M74" t="b">
        <f>K74&lt;&gt;L74</f>
        <v>1</v>
      </c>
      <c r="N74">
        <v>108144.93</v>
      </c>
      <c r="O74" t="b">
        <f>LEN(TRIM(N74))=0</f>
        <v>0</v>
      </c>
      <c r="P74" t="b">
        <f>AND(N74&gt;0, N74&lt;1000000)</f>
        <v>1</v>
      </c>
      <c r="Q74" t="s">
        <v>102</v>
      </c>
      <c r="R74" s="2" t="b">
        <f>LEN(TRIM(Q74))=0</f>
        <v>0</v>
      </c>
      <c r="S74" s="2" t="str">
        <f>IF(RIGHT(TRIM(Q74),9)="gmail.com","OK","Typo")</f>
        <v>OK</v>
      </c>
      <c r="T74" s="2" t="str">
        <f>A74&amp;D74&amp;G74&amp;I74&amp;K74&amp;N74&amp;Q74</f>
        <v>AliFemalepeshawar Sales 108144.93ali27@gmail.com</v>
      </c>
      <c r="U74" s="2" t="b">
        <f>COUNTIF(T:T,T74)&gt;1</f>
        <v>0</v>
      </c>
    </row>
    <row r="75" spans="1:21">
      <c r="A75" t="s">
        <v>91</v>
      </c>
      <c r="B75" t="b">
        <f>LEN(TRIM(A75))=0</f>
        <v>0</v>
      </c>
      <c r="C75" t="b">
        <f>COUNTIF(A:A,A75)&gt;1</f>
        <v>1</v>
      </c>
      <c r="D75" t="s">
        <v>22</v>
      </c>
      <c r="E75" t="b">
        <f>LEN(TRIM(D75))=0</f>
        <v>0</v>
      </c>
      <c r="F75" t="b">
        <f>EXACT(D75,PROPER(D75))</f>
        <v>1</v>
      </c>
      <c r="G75">
        <v>44</v>
      </c>
      <c r="H75" t="b">
        <f>LEN(TRIM(G75))=0</f>
        <v>0</v>
      </c>
      <c r="I75" t="s">
        <v>23</v>
      </c>
      <c r="J75" t="b">
        <f>EXACT(I75,PROPER(I75))</f>
        <v>1</v>
      </c>
      <c r="K75" t="s">
        <v>74</v>
      </c>
      <c r="L75" t="str">
        <f>TRIM(K75)</f>
        <v>Marketing</v>
      </c>
      <c r="M75" t="b">
        <f>K75&lt;&gt;L75</f>
        <v>1</v>
      </c>
      <c r="O75" t="b">
        <f>LEN(TRIM(N75))=0</f>
        <v>1</v>
      </c>
      <c r="P75" t="b">
        <f>AND(N75&gt;0, N75&lt;1000000)</f>
        <v>0</v>
      </c>
      <c r="Q75" t="s">
        <v>103</v>
      </c>
      <c r="R75" s="2" t="b">
        <f>LEN(TRIM(Q75))=0</f>
        <v>0</v>
      </c>
      <c r="S75" s="2" t="str">
        <f>IF(RIGHT(TRIM(Q75),9)="gmail.com","OK","Typo")</f>
        <v>OK</v>
      </c>
      <c r="T75" s="2" t="str">
        <f>A75&amp;D75&amp;G75&amp;I75&amp;K75&amp;N75&amp;Q75</f>
        <v>AliMale44Quetta Marketing ali28@gmail.com</v>
      </c>
      <c r="U75" s="2" t="b">
        <f>COUNTIF(T:T,T75)&gt;1</f>
        <v>0</v>
      </c>
    </row>
    <row r="76" spans="1:21">
      <c r="A76" t="s">
        <v>91</v>
      </c>
      <c r="B76" t="b">
        <f>LEN(TRIM(A76))=0</f>
        <v>0</v>
      </c>
      <c r="C76" t="b">
        <f>COUNTIF(A:A,A76)&gt;1</f>
        <v>1</v>
      </c>
      <c r="D76" t="s">
        <v>30</v>
      </c>
      <c r="E76" t="b">
        <f>LEN(TRIM(D76))=0</f>
        <v>0</v>
      </c>
      <c r="F76" t="b">
        <f>EXACT(D76,PROPER(D76))</f>
        <v>1</v>
      </c>
      <c r="H76" t="b">
        <f>LEN(TRIM(G76))=0</f>
        <v>1</v>
      </c>
      <c r="I76" t="s">
        <v>28</v>
      </c>
      <c r="J76" t="b">
        <f>EXACT(I76,PROPER(I76))</f>
        <v>1</v>
      </c>
      <c r="K76" t="s">
        <v>38</v>
      </c>
      <c r="L76" t="str">
        <f>TRIM(K76)</f>
        <v>Sales</v>
      </c>
      <c r="M76" t="b">
        <f>K76&lt;&gt;L76</f>
        <v>0</v>
      </c>
      <c r="N76">
        <v>121366.67</v>
      </c>
      <c r="O76" t="b">
        <f>LEN(TRIM(N76))=0</f>
        <v>0</v>
      </c>
      <c r="P76" t="b">
        <f>AND(N76&gt;0, N76&lt;1000000)</f>
        <v>1</v>
      </c>
      <c r="Q76" t="s">
        <v>104</v>
      </c>
      <c r="R76" s="2" t="b">
        <f>LEN(TRIM(Q76))=0</f>
        <v>0</v>
      </c>
      <c r="S76" s="2" t="str">
        <f>IF(RIGHT(TRIM(Q76),9)="gmail.com","OK","Typo")</f>
        <v>OK</v>
      </c>
      <c r="T76" s="2" t="str">
        <f>A76&amp;D76&amp;G76&amp;I76&amp;K76&amp;N76&amp;Q76</f>
        <v>AliFemaleKarachiSales121366.67ali29@gmail.com</v>
      </c>
      <c r="U76" s="2" t="b">
        <f>COUNTIF(T:T,T76)&gt;1</f>
        <v>0</v>
      </c>
    </row>
    <row r="77" spans="1:21">
      <c r="A77" t="s">
        <v>91</v>
      </c>
      <c r="B77" t="b">
        <f>LEN(TRIM(A77))=0</f>
        <v>0</v>
      </c>
      <c r="C77" t="b">
        <f>COUNTIF(A:A,A77)&gt;1</f>
        <v>1</v>
      </c>
      <c r="D77" t="s">
        <v>22</v>
      </c>
      <c r="E77" t="b">
        <f>LEN(TRIM(D77))=0</f>
        <v>0</v>
      </c>
      <c r="F77" t="b">
        <f>EXACT(D77,PROPER(D77))</f>
        <v>1</v>
      </c>
      <c r="H77" t="b">
        <f>LEN(TRIM(G77))=0</f>
        <v>1</v>
      </c>
      <c r="I77" t="s">
        <v>37</v>
      </c>
      <c r="J77" t="b">
        <f>EXACT(I77,PROPER(I77))</f>
        <v>1</v>
      </c>
      <c r="K77" t="s">
        <v>42</v>
      </c>
      <c r="L77" t="str">
        <f>TRIM(K77)</f>
        <v>IT</v>
      </c>
      <c r="M77" t="b">
        <f>K77&lt;&gt;L77</f>
        <v>0</v>
      </c>
      <c r="N77">
        <v>98857.03</v>
      </c>
      <c r="O77" t="b">
        <f>LEN(TRIM(N77))=0</f>
        <v>0</v>
      </c>
      <c r="P77" t="b">
        <f>AND(N77&gt;0, N77&lt;1000000)</f>
        <v>1</v>
      </c>
      <c r="Q77" t="s">
        <v>105</v>
      </c>
      <c r="R77" s="2" t="b">
        <f>LEN(TRIM(Q77))=0</f>
        <v>0</v>
      </c>
      <c r="S77" s="2" t="str">
        <f>IF(RIGHT(TRIM(Q77),9)="gmail.com","OK","Typo")</f>
        <v>Typo</v>
      </c>
      <c r="T77" s="2" t="str">
        <f>A77&amp;D77&amp;G77&amp;I77&amp;K77&amp;N77&amp;Q77</f>
        <v>AliMaleIslamabadIT98857.03ali31@gamil.com</v>
      </c>
      <c r="U77" s="2" t="b">
        <f>COUNTIF(T:T,T77)&gt;1</f>
        <v>0</v>
      </c>
    </row>
    <row r="78" spans="1:21">
      <c r="A78" t="s">
        <v>91</v>
      </c>
      <c r="B78" t="b">
        <f>LEN(TRIM(A78))=0</f>
        <v>0</v>
      </c>
      <c r="C78" t="b">
        <f>COUNTIF(A:A,A78)&gt;1</f>
        <v>1</v>
      </c>
      <c r="D78" t="s">
        <v>22</v>
      </c>
      <c r="E78" t="b">
        <f>LEN(TRIM(D78))=0</f>
        <v>0</v>
      </c>
      <c r="F78" t="b">
        <f>EXACT(D78,PROPER(D78))</f>
        <v>1</v>
      </c>
      <c r="G78">
        <v>26</v>
      </c>
      <c r="H78" t="b">
        <f>LEN(TRIM(G78))=0</f>
        <v>0</v>
      </c>
      <c r="I78" t="s">
        <v>37</v>
      </c>
      <c r="J78" t="b">
        <f>EXACT(I78,PROPER(I78))</f>
        <v>1</v>
      </c>
      <c r="K78" t="s">
        <v>42</v>
      </c>
      <c r="L78" t="str">
        <f>TRIM(K78)</f>
        <v>IT</v>
      </c>
      <c r="M78" t="b">
        <f>K78&lt;&gt;L78</f>
        <v>0</v>
      </c>
      <c r="N78">
        <v>68580.78</v>
      </c>
      <c r="O78" t="b">
        <f>LEN(TRIM(N78))=0</f>
        <v>0</v>
      </c>
      <c r="P78" t="b">
        <f>AND(N78&gt;0, N78&lt;1000000)</f>
        <v>1</v>
      </c>
      <c r="Q78" t="s">
        <v>106</v>
      </c>
      <c r="R78" s="2" t="b">
        <f>LEN(TRIM(Q78))=0</f>
        <v>0</v>
      </c>
      <c r="S78" s="2" t="str">
        <f>IF(RIGHT(TRIM(Q78),9)="gmail.com","OK","Typo")</f>
        <v>Typo</v>
      </c>
      <c r="T78" s="2" t="str">
        <f>A78&amp;D78&amp;G78&amp;I78&amp;K78&amp;N78&amp;Q78</f>
        <v>AliMale26IslamabadIT68580.78ali32@gamil.com</v>
      </c>
      <c r="U78" s="2" t="b">
        <f>COUNTIF(T:T,T78)&gt;1</f>
        <v>0</v>
      </c>
    </row>
    <row r="79" spans="1:21">
      <c r="A79" t="s">
        <v>91</v>
      </c>
      <c r="B79" t="b">
        <f>LEN(TRIM(A79))=0</f>
        <v>0</v>
      </c>
      <c r="C79" t="b">
        <f>COUNTIF(A:A,A79)&gt;1</f>
        <v>1</v>
      </c>
      <c r="D79" t="s">
        <v>22</v>
      </c>
      <c r="E79" t="b">
        <f>LEN(TRIM(D79))=0</f>
        <v>0</v>
      </c>
      <c r="F79" t="b">
        <f>EXACT(D79,PROPER(D79))</f>
        <v>1</v>
      </c>
      <c r="G79">
        <v>48</v>
      </c>
      <c r="H79" t="b">
        <f>LEN(TRIM(G79))=0</f>
        <v>0</v>
      </c>
      <c r="I79" t="s">
        <v>31</v>
      </c>
      <c r="J79" t="b">
        <f>EXACT(I79,PROPER(I79))</f>
        <v>0</v>
      </c>
      <c r="K79" t="s">
        <v>26</v>
      </c>
      <c r="L79" t="str">
        <f>TRIM(K79)</f>
        <v>HR</v>
      </c>
      <c r="M79" t="b">
        <f>K79&lt;&gt;L79</f>
        <v>1</v>
      </c>
      <c r="N79">
        <v>47170.2</v>
      </c>
      <c r="O79" t="b">
        <f>LEN(TRIM(N79))=0</f>
        <v>0</v>
      </c>
      <c r="P79" t="b">
        <f>AND(N79&gt;0, N79&lt;1000000)</f>
        <v>1</v>
      </c>
      <c r="Q79" t="s">
        <v>107</v>
      </c>
      <c r="R79" s="2" t="b">
        <f>LEN(TRIM(Q79))=0</f>
        <v>0</v>
      </c>
      <c r="S79" s="2" t="str">
        <f>IF(RIGHT(TRIM(Q79),9)="gmail.com","OK","Typo")</f>
        <v>OK</v>
      </c>
      <c r="T79" s="2" t="str">
        <f>A79&amp;D79&amp;G79&amp;I79&amp;K79&amp;N79&amp;Q79</f>
        <v>AliMale48quetta HR 47170.2ali32@gmail.com</v>
      </c>
      <c r="U79" s="2" t="b">
        <f>COUNTIF(T:T,T79)&gt;1</f>
        <v>0</v>
      </c>
    </row>
    <row r="80" spans="1:21">
      <c r="A80" t="s">
        <v>91</v>
      </c>
      <c r="B80" t="b">
        <f>LEN(TRIM(A80))=0</f>
        <v>0</v>
      </c>
      <c r="C80" t="b">
        <f>COUNTIF(A:A,A80)&gt;1</f>
        <v>1</v>
      </c>
      <c r="D80" t="s">
        <v>30</v>
      </c>
      <c r="E80" t="b">
        <f>LEN(TRIM(D80))=0</f>
        <v>0</v>
      </c>
      <c r="F80" t="b">
        <f>EXACT(D80,PROPER(D80))</f>
        <v>1</v>
      </c>
      <c r="G80">
        <v>23</v>
      </c>
      <c r="H80" t="b">
        <f>LEN(TRIM(G80))=0</f>
        <v>0</v>
      </c>
      <c r="I80" t="s">
        <v>37</v>
      </c>
      <c r="J80" t="b">
        <f>EXACT(I80,PROPER(I80))</f>
        <v>1</v>
      </c>
      <c r="K80" t="s">
        <v>38</v>
      </c>
      <c r="L80" t="str">
        <f>TRIM(K80)</f>
        <v>Sales</v>
      </c>
      <c r="M80" t="b">
        <f>K80&lt;&gt;L80</f>
        <v>0</v>
      </c>
      <c r="O80" t="b">
        <f>LEN(TRIM(N80))=0</f>
        <v>1</v>
      </c>
      <c r="P80" t="b">
        <f>AND(N80&gt;0, N80&lt;1000000)</f>
        <v>0</v>
      </c>
      <c r="Q80" t="s">
        <v>107</v>
      </c>
      <c r="R80" s="2" t="b">
        <f>LEN(TRIM(Q80))=0</f>
        <v>0</v>
      </c>
      <c r="S80" s="2" t="str">
        <f>IF(RIGHT(TRIM(Q80),9)="gmail.com","OK","Typo")</f>
        <v>OK</v>
      </c>
      <c r="T80" s="2" t="str">
        <f>A80&amp;D80&amp;G80&amp;I80&amp;K80&amp;N80&amp;Q80</f>
        <v>AliFemale23IslamabadSalesali32@gmail.com</v>
      </c>
      <c r="U80" s="2" t="b">
        <f>COUNTIF(T:T,T80)&gt;1</f>
        <v>0</v>
      </c>
    </row>
    <row r="81" spans="1:21">
      <c r="A81" t="s">
        <v>91</v>
      </c>
      <c r="B81" t="b">
        <f>LEN(TRIM(A81))=0</f>
        <v>0</v>
      </c>
      <c r="C81" t="b">
        <f>COUNTIF(A:A,A81)&gt;1</f>
        <v>1</v>
      </c>
      <c r="D81" t="s">
        <v>22</v>
      </c>
      <c r="E81" t="b">
        <f>LEN(TRIM(D81))=0</f>
        <v>0</v>
      </c>
      <c r="F81" t="b">
        <f>EXACT(D81,PROPER(D81))</f>
        <v>1</v>
      </c>
      <c r="H81" t="b">
        <f>LEN(TRIM(G81))=0</f>
        <v>1</v>
      </c>
      <c r="I81" t="s">
        <v>37</v>
      </c>
      <c r="J81" t="b">
        <f>EXACT(I81,PROPER(I81))</f>
        <v>1</v>
      </c>
      <c r="K81" t="s">
        <v>35</v>
      </c>
      <c r="L81" t="str">
        <f>TRIM(K81)</f>
        <v>Marketing</v>
      </c>
      <c r="M81" t="b">
        <f>K81&lt;&gt;L81</f>
        <v>0</v>
      </c>
      <c r="O81" t="b">
        <f>LEN(TRIM(N81))=0</f>
        <v>1</v>
      </c>
      <c r="P81" t="b">
        <f>AND(N81&gt;0, N81&lt;1000000)</f>
        <v>0</v>
      </c>
      <c r="Q81" t="s">
        <v>108</v>
      </c>
      <c r="R81" s="2" t="b">
        <f>LEN(TRIM(Q81))=0</f>
        <v>0</v>
      </c>
      <c r="S81" s="2" t="str">
        <f>IF(RIGHT(TRIM(Q81),9)="gmail.com","OK","Typo")</f>
        <v>OK</v>
      </c>
      <c r="T81" s="2" t="str">
        <f>A81&amp;D81&amp;G81&amp;I81&amp;K81&amp;N81&amp;Q81</f>
        <v>AliMaleIslamabadMarketingali33@gmail.com</v>
      </c>
      <c r="U81" s="2" t="b">
        <f>COUNTIF(T:T,T81)&gt;1</f>
        <v>0</v>
      </c>
    </row>
    <row r="82" spans="1:21">
      <c r="A82" t="s">
        <v>91</v>
      </c>
      <c r="B82" t="b">
        <f>LEN(TRIM(A82))=0</f>
        <v>0</v>
      </c>
      <c r="C82" t="b">
        <f>COUNTIF(A:A,A82)&gt;1</f>
        <v>1</v>
      </c>
      <c r="D82" t="s">
        <v>30</v>
      </c>
      <c r="E82" t="b">
        <f>LEN(TRIM(D82))=0</f>
        <v>0</v>
      </c>
      <c r="F82" t="b">
        <f>EXACT(D82,PROPER(D82))</f>
        <v>1</v>
      </c>
      <c r="H82" t="b">
        <f>LEN(TRIM(G82))=0</f>
        <v>1</v>
      </c>
      <c r="I82" t="s">
        <v>45</v>
      </c>
      <c r="J82" t="b">
        <f>EXACT(I82,PROPER(I82))</f>
        <v>1</v>
      </c>
      <c r="K82" t="s">
        <v>29</v>
      </c>
      <c r="L82" t="str">
        <f>TRIM(K82)</f>
        <v>Finance</v>
      </c>
      <c r="M82" t="b">
        <f>K82&lt;&gt;L82</f>
        <v>0</v>
      </c>
      <c r="N82">
        <v>115711.89</v>
      </c>
      <c r="O82" t="b">
        <f>LEN(TRIM(N82))=0</f>
        <v>0</v>
      </c>
      <c r="P82" t="b">
        <f>AND(N82&gt;0, N82&lt;1000000)</f>
        <v>1</v>
      </c>
      <c r="Q82" t="s">
        <v>109</v>
      </c>
      <c r="R82" s="2" t="b">
        <f>LEN(TRIM(Q82))=0</f>
        <v>0</v>
      </c>
      <c r="S82" s="2" t="str">
        <f>IF(RIGHT(TRIM(Q82),9)="gmail.com","OK","Typo")</f>
        <v>OK</v>
      </c>
      <c r="T82" s="2" t="str">
        <f>A82&amp;D82&amp;G82&amp;I82&amp;K82&amp;N82&amp;Q82</f>
        <v>AliFemalePeshawarFinance115711.89ali37@gmail.com</v>
      </c>
      <c r="U82" s="2" t="b">
        <f>COUNTIF(T:T,T82)&gt;1</f>
        <v>0</v>
      </c>
    </row>
    <row r="83" spans="1:21">
      <c r="A83" t="s">
        <v>91</v>
      </c>
      <c r="B83" t="b">
        <f>LEN(TRIM(A83))=0</f>
        <v>0</v>
      </c>
      <c r="C83" t="b">
        <f>COUNTIF(A:A,A83)&gt;1</f>
        <v>1</v>
      </c>
      <c r="D83" t="s">
        <v>30</v>
      </c>
      <c r="E83" t="b">
        <f>LEN(TRIM(D83))=0</f>
        <v>0</v>
      </c>
      <c r="F83" t="b">
        <f>EXACT(D83,PROPER(D83))</f>
        <v>1</v>
      </c>
      <c r="H83" t="b">
        <f>LEN(TRIM(G83))=0</f>
        <v>1</v>
      </c>
      <c r="I83" t="s">
        <v>45</v>
      </c>
      <c r="J83" t="b">
        <f>EXACT(I83,PROPER(I83))</f>
        <v>1</v>
      </c>
      <c r="K83" t="s">
        <v>24</v>
      </c>
      <c r="L83" t="str">
        <f>TRIM(K83)</f>
        <v>HR</v>
      </c>
      <c r="M83" t="b">
        <f>K83&lt;&gt;L83</f>
        <v>0</v>
      </c>
      <c r="N83">
        <v>33083.22</v>
      </c>
      <c r="O83" t="b">
        <f>LEN(TRIM(N83))=0</f>
        <v>0</v>
      </c>
      <c r="P83" t="b">
        <f>AND(N83&gt;0, N83&lt;1000000)</f>
        <v>1</v>
      </c>
      <c r="Q83" t="s">
        <v>110</v>
      </c>
      <c r="R83" s="2" t="b">
        <f>LEN(TRIM(Q83))=0</f>
        <v>0</v>
      </c>
      <c r="S83" s="2" t="str">
        <f>IF(RIGHT(TRIM(Q83),9)="gmail.com","OK","Typo")</f>
        <v>Typo</v>
      </c>
      <c r="T83" s="2" t="str">
        <f>A83&amp;D83&amp;G83&amp;I83&amp;K83&amp;N83&amp;Q83</f>
        <v>AliFemalePeshawarHR33083.22ali45@gamil.com</v>
      </c>
      <c r="U83" s="2" t="b">
        <f>COUNTIF(T:T,T83)&gt;1</f>
        <v>0</v>
      </c>
    </row>
    <row r="84" spans="1:21">
      <c r="A84" t="s">
        <v>91</v>
      </c>
      <c r="B84" t="b">
        <f>LEN(TRIM(A84))=0</f>
        <v>0</v>
      </c>
      <c r="C84" t="b">
        <f>COUNTIF(A:A,A84)&gt;1</f>
        <v>1</v>
      </c>
      <c r="D84" t="s">
        <v>22</v>
      </c>
      <c r="E84" t="b">
        <f>LEN(TRIM(D84))=0</f>
        <v>0</v>
      </c>
      <c r="F84" t="b">
        <f>EXACT(D84,PROPER(D84))</f>
        <v>1</v>
      </c>
      <c r="G84">
        <v>26</v>
      </c>
      <c r="H84" t="b">
        <f>LEN(TRIM(G84))=0</f>
        <v>0</v>
      </c>
      <c r="I84" t="s">
        <v>101</v>
      </c>
      <c r="J84" t="b">
        <f>EXACT(I84,PROPER(I84))</f>
        <v>0</v>
      </c>
      <c r="K84" t="s">
        <v>24</v>
      </c>
      <c r="L84" t="str">
        <f>TRIM(K84)</f>
        <v>HR</v>
      </c>
      <c r="M84" t="b">
        <f>K84&lt;&gt;L84</f>
        <v>0</v>
      </c>
      <c r="O84" t="b">
        <f>LEN(TRIM(N84))=0</f>
        <v>1</v>
      </c>
      <c r="P84" t="b">
        <f>AND(N84&gt;0, N84&lt;1000000)</f>
        <v>0</v>
      </c>
      <c r="Q84" t="s">
        <v>111</v>
      </c>
      <c r="R84" s="2" t="b">
        <f>LEN(TRIM(Q84))=0</f>
        <v>0</v>
      </c>
      <c r="S84" s="2" t="str">
        <f>IF(RIGHT(TRIM(Q84),9)="gmail.com","OK","Typo")</f>
        <v>OK</v>
      </c>
      <c r="T84" s="2" t="str">
        <f>A84&amp;D84&amp;G84&amp;I84&amp;K84&amp;N84&amp;Q84</f>
        <v>AliMale26peshawarHRali45@gmail.com</v>
      </c>
      <c r="U84" s="2" t="b">
        <f>COUNTIF(T:T,T84)&gt;1</f>
        <v>0</v>
      </c>
    </row>
    <row r="85" spans="1:21">
      <c r="A85" t="s">
        <v>91</v>
      </c>
      <c r="B85" t="b">
        <f>LEN(TRIM(A85))=0</f>
        <v>0</v>
      </c>
      <c r="C85" t="b">
        <f>COUNTIF(A:A,A85)&gt;1</f>
        <v>1</v>
      </c>
      <c r="D85" t="s">
        <v>30</v>
      </c>
      <c r="E85" t="b">
        <f>LEN(TRIM(D85))=0</f>
        <v>0</v>
      </c>
      <c r="F85" t="b">
        <f>EXACT(D85,PROPER(D85))</f>
        <v>1</v>
      </c>
      <c r="G85">
        <v>43</v>
      </c>
      <c r="H85" t="b">
        <f>LEN(TRIM(G85))=0</f>
        <v>0</v>
      </c>
      <c r="I85" t="s">
        <v>37</v>
      </c>
      <c r="J85" t="b">
        <f>EXACT(I85,PROPER(I85))</f>
        <v>1</v>
      </c>
      <c r="K85" t="s">
        <v>35</v>
      </c>
      <c r="L85" t="str">
        <f>TRIM(K85)</f>
        <v>Marketing</v>
      </c>
      <c r="M85" t="b">
        <f>K85&lt;&gt;L85</f>
        <v>0</v>
      </c>
      <c r="O85" t="b">
        <f>LEN(TRIM(N85))=0</f>
        <v>1</v>
      </c>
      <c r="P85" t="b">
        <f>AND(N85&gt;0, N85&lt;1000000)</f>
        <v>0</v>
      </c>
      <c r="Q85" t="s">
        <v>112</v>
      </c>
      <c r="R85" s="2" t="b">
        <f>LEN(TRIM(Q85))=0</f>
        <v>0</v>
      </c>
      <c r="S85" s="2" t="str">
        <f>IF(RIGHT(TRIM(Q85),9)="gmail.com","OK","Typo")</f>
        <v>OK</v>
      </c>
      <c r="T85" s="2" t="str">
        <f>A85&amp;D85&amp;G85&amp;I85&amp;K85&amp;N85&amp;Q85</f>
        <v>AliFemale43IslamabadMarketingali49@gmail.com</v>
      </c>
      <c r="U85" s="2" t="b">
        <f>COUNTIF(T:T,T85)&gt;1</f>
        <v>0</v>
      </c>
    </row>
    <row r="86" spans="1:21">
      <c r="A86" t="s">
        <v>91</v>
      </c>
      <c r="B86" t="b">
        <f>LEN(TRIM(A86))=0</f>
        <v>0</v>
      </c>
      <c r="C86" t="b">
        <f>COUNTIF(A:A,A86)&gt;1</f>
        <v>1</v>
      </c>
      <c r="D86" t="s">
        <v>22</v>
      </c>
      <c r="E86" t="b">
        <f>LEN(TRIM(D86))=0</f>
        <v>0</v>
      </c>
      <c r="F86" t="b">
        <f>EXACT(D86,PROPER(D86))</f>
        <v>1</v>
      </c>
      <c r="H86" t="b">
        <f>LEN(TRIM(G86))=0</f>
        <v>1</v>
      </c>
      <c r="I86" t="s">
        <v>37</v>
      </c>
      <c r="J86" t="b">
        <f>EXACT(I86,PROPER(I86))</f>
        <v>1</v>
      </c>
      <c r="K86" t="s">
        <v>24</v>
      </c>
      <c r="L86" t="str">
        <f>TRIM(K86)</f>
        <v>HR</v>
      </c>
      <c r="M86" t="b">
        <f>K86&lt;&gt;L86</f>
        <v>0</v>
      </c>
      <c r="O86" t="b">
        <f>LEN(TRIM(N86))=0</f>
        <v>1</v>
      </c>
      <c r="P86" t="b">
        <f>AND(N86&gt;0, N86&lt;1000000)</f>
        <v>0</v>
      </c>
      <c r="Q86" t="s">
        <v>113</v>
      </c>
      <c r="R86" s="2" t="b">
        <f>LEN(TRIM(Q86))=0</f>
        <v>0</v>
      </c>
      <c r="S86" s="2" t="str">
        <f>IF(RIGHT(TRIM(Q86),9)="gmail.com","OK","Typo")</f>
        <v>OK</v>
      </c>
      <c r="T86" s="2" t="str">
        <f>A86&amp;D86&amp;G86&amp;I86&amp;K86&amp;N86&amp;Q86</f>
        <v>AliMaleIslamabadHRali5@gmail.com</v>
      </c>
      <c r="U86" s="2" t="b">
        <f>COUNTIF(T:T,T86)&gt;1</f>
        <v>0</v>
      </c>
    </row>
    <row r="87" spans="1:21">
      <c r="A87" t="s">
        <v>91</v>
      </c>
      <c r="B87" t="b">
        <f>LEN(TRIM(A87))=0</f>
        <v>0</v>
      </c>
      <c r="C87" t="b">
        <f>COUNTIF(A:A,A87)&gt;1</f>
        <v>1</v>
      </c>
      <c r="D87" t="s">
        <v>30</v>
      </c>
      <c r="E87" t="b">
        <f>LEN(TRIM(D87))=0</f>
        <v>0</v>
      </c>
      <c r="F87" t="b">
        <f>EXACT(D87,PROPER(D87))</f>
        <v>1</v>
      </c>
      <c r="H87" t="b">
        <f>LEN(TRIM(G87))=0</f>
        <v>1</v>
      </c>
      <c r="I87" t="s">
        <v>28</v>
      </c>
      <c r="J87" t="b">
        <f>EXACT(I87,PROPER(I87))</f>
        <v>1</v>
      </c>
      <c r="K87" t="s">
        <v>38</v>
      </c>
      <c r="L87" t="str">
        <f>TRIM(K87)</f>
        <v>Sales</v>
      </c>
      <c r="M87" t="b">
        <f>K87&lt;&gt;L87</f>
        <v>0</v>
      </c>
      <c r="O87" t="b">
        <f>LEN(TRIM(N87))=0</f>
        <v>1</v>
      </c>
      <c r="P87" t="b">
        <f>AND(N87&gt;0, N87&lt;1000000)</f>
        <v>0</v>
      </c>
      <c r="Q87" t="s">
        <v>114</v>
      </c>
      <c r="R87" s="2" t="b">
        <f>LEN(TRIM(Q87))=0</f>
        <v>0</v>
      </c>
      <c r="S87" s="2" t="str">
        <f>IF(RIGHT(TRIM(Q87),9)="gmail.com","OK","Typo")</f>
        <v>OK</v>
      </c>
      <c r="T87" s="2" t="str">
        <f>A87&amp;D87&amp;G87&amp;I87&amp;K87&amp;N87&amp;Q87</f>
        <v>AliFemaleKarachiSalesali54@gmail.com</v>
      </c>
      <c r="U87" s="2" t="b">
        <f>COUNTIF(T:T,T87)&gt;1</f>
        <v>0</v>
      </c>
    </row>
    <row r="88" spans="1:21">
      <c r="A88" t="s">
        <v>91</v>
      </c>
      <c r="B88" t="b">
        <f>LEN(TRIM(A88))=0</f>
        <v>0</v>
      </c>
      <c r="C88" t="b">
        <f>COUNTIF(A:A,A88)&gt;1</f>
        <v>1</v>
      </c>
      <c r="D88" t="s">
        <v>22</v>
      </c>
      <c r="E88" t="b">
        <f>LEN(TRIM(D88))=0</f>
        <v>0</v>
      </c>
      <c r="F88" t="b">
        <f>EXACT(D88,PROPER(D88))</f>
        <v>1</v>
      </c>
      <c r="G88">
        <v>44</v>
      </c>
      <c r="H88" t="b">
        <f>LEN(TRIM(G88))=0</f>
        <v>0</v>
      </c>
      <c r="I88" t="s">
        <v>66</v>
      </c>
      <c r="J88" t="b">
        <f>EXACT(I88,PROPER(I88))</f>
        <v>0</v>
      </c>
      <c r="K88" t="s">
        <v>35</v>
      </c>
      <c r="L88" t="str">
        <f>TRIM(K88)</f>
        <v>Marketing</v>
      </c>
      <c r="M88" t="b">
        <f>K88&lt;&gt;L88</f>
        <v>0</v>
      </c>
      <c r="O88" t="b">
        <f>LEN(TRIM(N88))=0</f>
        <v>1</v>
      </c>
      <c r="P88" t="b">
        <f>AND(N88&gt;0, N88&lt;1000000)</f>
        <v>0</v>
      </c>
      <c r="Q88" t="s">
        <v>115</v>
      </c>
      <c r="R88" s="2" t="b">
        <f>LEN(TRIM(Q88))=0</f>
        <v>0</v>
      </c>
      <c r="S88" s="2" t="str">
        <f>IF(RIGHT(TRIM(Q88),9)="gmail.com","OK","Typo")</f>
        <v>OK</v>
      </c>
      <c r="T88" s="2" t="str">
        <f>A88&amp;D88&amp;G88&amp;I88&amp;K88&amp;N88&amp;Q88</f>
        <v>AliMale44karachiMarketingali56@gmail.com</v>
      </c>
      <c r="U88" s="2" t="b">
        <f>COUNTIF(T:T,T88)&gt;1</f>
        <v>0</v>
      </c>
    </row>
    <row r="89" spans="1:21">
      <c r="A89" t="s">
        <v>91</v>
      </c>
      <c r="B89" t="b">
        <f>LEN(TRIM(A89))=0</f>
        <v>0</v>
      </c>
      <c r="C89" t="b">
        <f>COUNTIF(A:A,A89)&gt;1</f>
        <v>1</v>
      </c>
      <c r="D89" t="s">
        <v>22</v>
      </c>
      <c r="E89" t="b">
        <f>LEN(TRIM(D89))=0</f>
        <v>0</v>
      </c>
      <c r="F89" t="b">
        <f>EXACT(D89,PROPER(D89))</f>
        <v>1</v>
      </c>
      <c r="H89" t="b">
        <f>LEN(TRIM(G89))=0</f>
        <v>1</v>
      </c>
      <c r="I89" t="s">
        <v>23</v>
      </c>
      <c r="J89" t="b">
        <f>EXACT(I89,PROPER(I89))</f>
        <v>1</v>
      </c>
      <c r="K89" t="s">
        <v>24</v>
      </c>
      <c r="L89" t="str">
        <f>TRIM(K89)</f>
        <v>HR</v>
      </c>
      <c r="M89" t="b">
        <f>K89&lt;&gt;L89</f>
        <v>0</v>
      </c>
      <c r="O89" t="b">
        <f>LEN(TRIM(N89))=0</f>
        <v>1</v>
      </c>
      <c r="P89" t="b">
        <f>AND(N89&gt;0, N89&lt;1000000)</f>
        <v>0</v>
      </c>
      <c r="Q89" t="s">
        <v>115</v>
      </c>
      <c r="R89" s="2" t="b">
        <f>LEN(TRIM(Q89))=0</f>
        <v>0</v>
      </c>
      <c r="S89" s="2" t="str">
        <f>IF(RIGHT(TRIM(Q89),9)="gmail.com","OK","Typo")</f>
        <v>OK</v>
      </c>
      <c r="T89" s="2" t="str">
        <f>A89&amp;D89&amp;G89&amp;I89&amp;K89&amp;N89&amp;Q89</f>
        <v>AliMaleQuettaHRali56@gmail.com</v>
      </c>
      <c r="U89" s="2" t="b">
        <f>COUNTIF(T:T,T89)&gt;1</f>
        <v>0</v>
      </c>
    </row>
    <row r="90" spans="1:21">
      <c r="A90" t="s">
        <v>91</v>
      </c>
      <c r="B90" t="b">
        <f>LEN(TRIM(A90))=0</f>
        <v>0</v>
      </c>
      <c r="C90" t="b">
        <f>COUNTIF(A:A,A90)&gt;1</f>
        <v>1</v>
      </c>
      <c r="D90" t="s">
        <v>22</v>
      </c>
      <c r="E90" t="b">
        <f>LEN(TRIM(D90))=0</f>
        <v>0</v>
      </c>
      <c r="F90" t="b">
        <f>EXACT(D90,PROPER(D90))</f>
        <v>1</v>
      </c>
      <c r="G90">
        <v>37</v>
      </c>
      <c r="H90" t="b">
        <f>LEN(TRIM(G90))=0</f>
        <v>0</v>
      </c>
      <c r="I90" t="s">
        <v>23</v>
      </c>
      <c r="J90" t="b">
        <f>EXACT(I90,PROPER(I90))</f>
        <v>1</v>
      </c>
      <c r="K90" t="s">
        <v>35</v>
      </c>
      <c r="L90" t="str">
        <f>TRIM(K90)</f>
        <v>Marketing</v>
      </c>
      <c r="M90" t="b">
        <f>K90&lt;&gt;L90</f>
        <v>0</v>
      </c>
      <c r="N90">
        <v>28633.97</v>
      </c>
      <c r="O90" t="b">
        <f>LEN(TRIM(N90))=0</f>
        <v>0</v>
      </c>
      <c r="P90" t="b">
        <f>AND(N90&gt;0, N90&lt;1000000)</f>
        <v>1</v>
      </c>
      <c r="Q90" t="s">
        <v>116</v>
      </c>
      <c r="R90" s="2" t="b">
        <f>LEN(TRIM(Q90))=0</f>
        <v>0</v>
      </c>
      <c r="S90" s="2" t="str">
        <f>IF(RIGHT(TRIM(Q90),9)="gmail.com","OK","Typo")</f>
        <v>OK</v>
      </c>
      <c r="T90" s="2" t="str">
        <f>A90&amp;D90&amp;G90&amp;I90&amp;K90&amp;N90&amp;Q90</f>
        <v>AliMale37QuettaMarketing28633.97ali59@gmail.com</v>
      </c>
      <c r="U90" s="2" t="b">
        <f>COUNTIF(T:T,T90)&gt;1</f>
        <v>0</v>
      </c>
    </row>
    <row r="91" spans="1:21">
      <c r="A91" t="s">
        <v>91</v>
      </c>
      <c r="B91" t="b">
        <f>LEN(TRIM(A91))=0</f>
        <v>0</v>
      </c>
      <c r="C91" t="b">
        <f>COUNTIF(A:A,A91)&gt;1</f>
        <v>1</v>
      </c>
      <c r="D91" t="s">
        <v>22</v>
      </c>
      <c r="E91" t="b">
        <f>LEN(TRIM(D91))=0</f>
        <v>0</v>
      </c>
      <c r="F91" t="b">
        <f>EXACT(D91,PROPER(D91))</f>
        <v>1</v>
      </c>
      <c r="H91" t="b">
        <f>LEN(TRIM(G91))=0</f>
        <v>1</v>
      </c>
      <c r="I91" t="s">
        <v>28</v>
      </c>
      <c r="J91" t="b">
        <f>EXACT(I91,PROPER(I91))</f>
        <v>1</v>
      </c>
      <c r="K91" t="s">
        <v>24</v>
      </c>
      <c r="L91" t="str">
        <f>TRIM(K91)</f>
        <v>HR</v>
      </c>
      <c r="M91" t="b">
        <f>K91&lt;&gt;L91</f>
        <v>0</v>
      </c>
      <c r="N91">
        <v>27689.13</v>
      </c>
      <c r="O91" t="b">
        <f>LEN(TRIM(N91))=0</f>
        <v>0</v>
      </c>
      <c r="P91" t="b">
        <f>AND(N91&gt;0, N91&lt;1000000)</f>
        <v>1</v>
      </c>
      <c r="Q91" t="s">
        <v>117</v>
      </c>
      <c r="R91" s="2" t="b">
        <f>LEN(TRIM(Q91))=0</f>
        <v>0</v>
      </c>
      <c r="S91" s="2" t="str">
        <f>IF(RIGHT(TRIM(Q91),9)="gmail.com","OK","Typo")</f>
        <v>OK</v>
      </c>
      <c r="T91" s="2" t="str">
        <f>A91&amp;D91&amp;G91&amp;I91&amp;K91&amp;N91&amp;Q91</f>
        <v>AliMaleKarachiHR27689.13ali60@gmail.com</v>
      </c>
      <c r="U91" s="2" t="b">
        <f>COUNTIF(T:T,T91)&gt;1</f>
        <v>0</v>
      </c>
    </row>
    <row r="92" spans="1:21">
      <c r="A92" t="s">
        <v>91</v>
      </c>
      <c r="B92" t="b">
        <f>LEN(TRIM(A92))=0</f>
        <v>0</v>
      </c>
      <c r="C92" t="b">
        <f>COUNTIF(A:A,A92)&gt;1</f>
        <v>1</v>
      </c>
      <c r="D92" t="s">
        <v>30</v>
      </c>
      <c r="E92" t="b">
        <f>LEN(TRIM(D92))=0</f>
        <v>0</v>
      </c>
      <c r="F92" t="b">
        <f>EXACT(D92,PROPER(D92))</f>
        <v>1</v>
      </c>
      <c r="G92">
        <v>31</v>
      </c>
      <c r="H92" t="b">
        <f>LEN(TRIM(G92))=0</f>
        <v>0</v>
      </c>
      <c r="I92" t="s">
        <v>23</v>
      </c>
      <c r="J92" t="b">
        <f>EXACT(I92,PROPER(I92))</f>
        <v>1</v>
      </c>
      <c r="K92" t="s">
        <v>29</v>
      </c>
      <c r="L92" t="str">
        <f>TRIM(K92)</f>
        <v>Finance</v>
      </c>
      <c r="M92" t="b">
        <f>K92&lt;&gt;L92</f>
        <v>0</v>
      </c>
      <c r="N92">
        <v>27744.02</v>
      </c>
      <c r="O92" t="b">
        <f>LEN(TRIM(N92))=0</f>
        <v>0</v>
      </c>
      <c r="P92" t="b">
        <f>AND(N92&gt;0, N92&lt;1000000)</f>
        <v>1</v>
      </c>
      <c r="Q92" t="s">
        <v>118</v>
      </c>
      <c r="R92" s="2" t="b">
        <f>LEN(TRIM(Q92))=0</f>
        <v>0</v>
      </c>
      <c r="S92" s="2" t="str">
        <f>IF(RIGHT(TRIM(Q92),9)="gmail.com","OK","Typo")</f>
        <v>OK</v>
      </c>
      <c r="T92" s="2" t="str">
        <f>A92&amp;D92&amp;G92&amp;I92&amp;K92&amp;N92&amp;Q92</f>
        <v>AliFemale31QuettaFinance27744.02ali65@gmail.com</v>
      </c>
      <c r="U92" s="2" t="b">
        <f>COUNTIF(T:T,T92)&gt;1</f>
        <v>0</v>
      </c>
    </row>
    <row r="93" spans="1:21">
      <c r="A93" t="s">
        <v>91</v>
      </c>
      <c r="B93" t="b">
        <f>LEN(TRIM(A93))=0</f>
        <v>0</v>
      </c>
      <c r="C93" t="b">
        <f>COUNTIF(A:A,A93)&gt;1</f>
        <v>1</v>
      </c>
      <c r="D93" t="s">
        <v>22</v>
      </c>
      <c r="E93" t="b">
        <f>LEN(TRIM(D93))=0</f>
        <v>0</v>
      </c>
      <c r="F93" t="b">
        <f>EXACT(D93,PROPER(D93))</f>
        <v>1</v>
      </c>
      <c r="G93">
        <v>37</v>
      </c>
      <c r="H93" t="b">
        <f>LEN(TRIM(G93))=0</f>
        <v>0</v>
      </c>
      <c r="I93" t="s">
        <v>45</v>
      </c>
      <c r="J93" t="b">
        <f>EXACT(I93,PROPER(I93))</f>
        <v>1</v>
      </c>
      <c r="K93" t="s">
        <v>38</v>
      </c>
      <c r="L93" t="str">
        <f>TRIM(K93)</f>
        <v>Sales</v>
      </c>
      <c r="M93" t="b">
        <f>K93&lt;&gt;L93</f>
        <v>0</v>
      </c>
      <c r="O93" t="b">
        <f>LEN(TRIM(N93))=0</f>
        <v>1</v>
      </c>
      <c r="P93" t="b">
        <f>AND(N93&gt;0, N93&lt;1000000)</f>
        <v>0</v>
      </c>
      <c r="Q93" t="s">
        <v>119</v>
      </c>
      <c r="R93" s="2" t="b">
        <f>LEN(TRIM(Q93))=0</f>
        <v>0</v>
      </c>
      <c r="S93" s="2" t="str">
        <f>IF(RIGHT(TRIM(Q93),9)="gmail.com","OK","Typo")</f>
        <v>OK</v>
      </c>
      <c r="T93" s="2" t="str">
        <f>A93&amp;D93&amp;G93&amp;I93&amp;K93&amp;N93&amp;Q93</f>
        <v>AliMale37PeshawarSalesali66@gmail.com</v>
      </c>
      <c r="U93" s="2" t="b">
        <f>COUNTIF(T:T,T93)&gt;1</f>
        <v>0</v>
      </c>
    </row>
    <row r="94" spans="1:21">
      <c r="A94" t="s">
        <v>91</v>
      </c>
      <c r="B94" t="b">
        <f>LEN(TRIM(A94))=0</f>
        <v>0</v>
      </c>
      <c r="C94" t="b">
        <f>COUNTIF(A:A,A94)&gt;1</f>
        <v>1</v>
      </c>
      <c r="D94" t="s">
        <v>30</v>
      </c>
      <c r="E94" t="b">
        <f>LEN(TRIM(D94))=0</f>
        <v>0</v>
      </c>
      <c r="F94" t="b">
        <f>EXACT(D94,PROPER(D94))</f>
        <v>1</v>
      </c>
      <c r="H94" t="b">
        <f>LEN(TRIM(G94))=0</f>
        <v>1</v>
      </c>
      <c r="I94" t="s">
        <v>37</v>
      </c>
      <c r="J94" t="b">
        <f>EXACT(I94,PROPER(I94))</f>
        <v>1</v>
      </c>
      <c r="K94" t="s">
        <v>38</v>
      </c>
      <c r="L94" t="str">
        <f>TRIM(K94)</f>
        <v>Sales</v>
      </c>
      <c r="M94" t="b">
        <f>K94&lt;&gt;L94</f>
        <v>0</v>
      </c>
      <c r="N94">
        <v>50813.95</v>
      </c>
      <c r="O94" t="b">
        <f>LEN(TRIM(N94))=0</f>
        <v>0</v>
      </c>
      <c r="P94" t="b">
        <f>AND(N94&gt;0, N94&lt;1000000)</f>
        <v>1</v>
      </c>
      <c r="Q94" t="s">
        <v>120</v>
      </c>
      <c r="R94" s="2" t="b">
        <f>LEN(TRIM(Q94))=0</f>
        <v>0</v>
      </c>
      <c r="S94" s="2" t="str">
        <f>IF(RIGHT(TRIM(Q94),9)="gmail.com","OK","Typo")</f>
        <v>OK</v>
      </c>
      <c r="T94" s="2" t="str">
        <f>A94&amp;D94&amp;G94&amp;I94&amp;K94&amp;N94&amp;Q94</f>
        <v>AliFemaleIslamabadSales50813.95ali67@gmail.com</v>
      </c>
      <c r="U94" s="2" t="b">
        <f>COUNTIF(T:T,T94)&gt;1</f>
        <v>0</v>
      </c>
    </row>
    <row r="95" spans="1:21">
      <c r="A95" t="s">
        <v>91</v>
      </c>
      <c r="B95" t="b">
        <f>LEN(TRIM(A95))=0</f>
        <v>0</v>
      </c>
      <c r="C95" t="b">
        <f>COUNTIF(A:A,A95)&gt;1</f>
        <v>1</v>
      </c>
      <c r="D95" t="s">
        <v>22</v>
      </c>
      <c r="E95" t="b">
        <f>LEN(TRIM(D95))=0</f>
        <v>0</v>
      </c>
      <c r="F95" t="b">
        <f>EXACT(D95,PROPER(D95))</f>
        <v>1</v>
      </c>
      <c r="H95" t="b">
        <f>LEN(TRIM(G95))=0</f>
        <v>1</v>
      </c>
      <c r="I95" t="s">
        <v>32</v>
      </c>
      <c r="J95" t="b">
        <f>EXACT(I95,PROPER(I95))</f>
        <v>1</v>
      </c>
      <c r="K95" t="s">
        <v>42</v>
      </c>
      <c r="L95" t="str">
        <f>TRIM(K95)</f>
        <v>IT</v>
      </c>
      <c r="M95" t="b">
        <f>K95&lt;&gt;L95</f>
        <v>0</v>
      </c>
      <c r="N95">
        <v>132190.21</v>
      </c>
      <c r="O95" t="b">
        <f>LEN(TRIM(N95))=0</f>
        <v>0</v>
      </c>
      <c r="P95" t="b">
        <f>AND(N95&gt;0, N95&lt;1000000)</f>
        <v>1</v>
      </c>
      <c r="Q95" t="s">
        <v>121</v>
      </c>
      <c r="R95" s="2" t="b">
        <f>LEN(TRIM(Q95))=0</f>
        <v>0</v>
      </c>
      <c r="S95" s="2" t="str">
        <f>IF(RIGHT(TRIM(Q95),9)="gmail.com","OK","Typo")</f>
        <v>OK</v>
      </c>
      <c r="T95" s="2" t="str">
        <f>A95&amp;D95&amp;G95&amp;I95&amp;K95&amp;N95&amp;Q95</f>
        <v>AliMaleLahoreIT132190.21ali68@gmail.com</v>
      </c>
      <c r="U95" s="2" t="b">
        <f>COUNTIF(T:T,T95)&gt;1</f>
        <v>0</v>
      </c>
    </row>
    <row r="96" spans="1:21">
      <c r="A96" t="s">
        <v>91</v>
      </c>
      <c r="B96" t="b">
        <f>LEN(TRIM(A96))=0</f>
        <v>0</v>
      </c>
      <c r="C96" t="b">
        <f>COUNTIF(A:A,A96)&gt;1</f>
        <v>1</v>
      </c>
      <c r="D96" t="s">
        <v>30</v>
      </c>
      <c r="E96" t="b">
        <f>LEN(TRIM(D96))=0</f>
        <v>0</v>
      </c>
      <c r="F96" t="b">
        <f>EXACT(D96,PROPER(D96))</f>
        <v>1</v>
      </c>
      <c r="H96" t="b">
        <f>LEN(TRIM(G96))=0</f>
        <v>1</v>
      </c>
      <c r="I96" t="s">
        <v>37</v>
      </c>
      <c r="J96" t="b">
        <f>EXACT(I96,PROPER(I96))</f>
        <v>1</v>
      </c>
      <c r="K96" t="s">
        <v>29</v>
      </c>
      <c r="L96" t="str">
        <f>TRIM(K96)</f>
        <v>Finance</v>
      </c>
      <c r="M96" t="b">
        <f>K96&lt;&gt;L96</f>
        <v>0</v>
      </c>
      <c r="O96" t="b">
        <f>LEN(TRIM(N96))=0</f>
        <v>1</v>
      </c>
      <c r="P96" t="b">
        <f>AND(N96&gt;0, N96&lt;1000000)</f>
        <v>0</v>
      </c>
      <c r="Q96" t="s">
        <v>122</v>
      </c>
      <c r="R96" s="2" t="b">
        <f>LEN(TRIM(Q96))=0</f>
        <v>0</v>
      </c>
      <c r="S96" s="2" t="str">
        <f>IF(RIGHT(TRIM(Q96),9)="gmail.com","OK","Typo")</f>
        <v>OK</v>
      </c>
      <c r="T96" s="2" t="str">
        <f>A96&amp;D96&amp;G96&amp;I96&amp;K96&amp;N96&amp;Q96</f>
        <v>AliFemaleIslamabadFinanceali69@gmail.com</v>
      </c>
      <c r="U96" s="2" t="b">
        <f>COUNTIF(T:T,T96)&gt;1</f>
        <v>0</v>
      </c>
    </row>
    <row r="97" spans="1:21">
      <c r="A97" t="s">
        <v>91</v>
      </c>
      <c r="B97" t="b">
        <f>LEN(TRIM(A97))=0</f>
        <v>0</v>
      </c>
      <c r="C97" t="b">
        <f>COUNTIF(A:A,A97)&gt;1</f>
        <v>1</v>
      </c>
      <c r="D97" t="s">
        <v>30</v>
      </c>
      <c r="E97" t="b">
        <f>LEN(TRIM(D97))=0</f>
        <v>0</v>
      </c>
      <c r="F97" t="b">
        <f>EXACT(D97,PROPER(D97))</f>
        <v>1</v>
      </c>
      <c r="G97">
        <v>26</v>
      </c>
      <c r="H97" t="b">
        <f>LEN(TRIM(G97))=0</f>
        <v>0</v>
      </c>
      <c r="I97" t="s">
        <v>32</v>
      </c>
      <c r="J97" t="b">
        <f>EXACT(I97,PROPER(I97))</f>
        <v>1</v>
      </c>
      <c r="K97" t="s">
        <v>35</v>
      </c>
      <c r="L97" t="str">
        <f>TRIM(K97)</f>
        <v>Marketing</v>
      </c>
      <c r="M97" t="b">
        <f>K97&lt;&gt;L97</f>
        <v>0</v>
      </c>
      <c r="O97" t="b">
        <f>LEN(TRIM(N97))=0</f>
        <v>1</v>
      </c>
      <c r="P97" t="b">
        <f>AND(N97&gt;0, N97&lt;1000000)</f>
        <v>0</v>
      </c>
      <c r="Q97" t="s">
        <v>123</v>
      </c>
      <c r="R97" s="2" t="b">
        <f>LEN(TRIM(Q97))=0</f>
        <v>0</v>
      </c>
      <c r="S97" s="2" t="str">
        <f>IF(RIGHT(TRIM(Q97),9)="gmail.com","OK","Typo")</f>
        <v>OK</v>
      </c>
      <c r="T97" s="2" t="str">
        <f>A97&amp;D97&amp;G97&amp;I97&amp;K97&amp;N97&amp;Q97</f>
        <v>AliFemale26LahoreMarketingali70@gmail.com</v>
      </c>
      <c r="U97" s="2" t="b">
        <f>COUNTIF(T:T,T97)&gt;1</f>
        <v>0</v>
      </c>
    </row>
    <row r="98" spans="1:21">
      <c r="A98" t="s">
        <v>91</v>
      </c>
      <c r="B98" t="b">
        <f>LEN(TRIM(A98))=0</f>
        <v>0</v>
      </c>
      <c r="C98" t="b">
        <f>COUNTIF(A:A,A98)&gt;1</f>
        <v>1</v>
      </c>
      <c r="D98" t="s">
        <v>22</v>
      </c>
      <c r="E98" t="b">
        <f>LEN(TRIM(D98))=0</f>
        <v>0</v>
      </c>
      <c r="F98" t="b">
        <f>EXACT(D98,PROPER(D98))</f>
        <v>1</v>
      </c>
      <c r="G98">
        <v>54</v>
      </c>
      <c r="H98" t="b">
        <f>LEN(TRIM(G98))=0</f>
        <v>0</v>
      </c>
      <c r="I98" t="s">
        <v>23</v>
      </c>
      <c r="J98" t="b">
        <f>EXACT(I98,PROPER(I98))</f>
        <v>1</v>
      </c>
      <c r="K98" t="s">
        <v>26</v>
      </c>
      <c r="L98" t="str">
        <f>TRIM(K98)</f>
        <v>HR</v>
      </c>
      <c r="M98" t="b">
        <f>K98&lt;&gt;L98</f>
        <v>1</v>
      </c>
      <c r="O98" t="b">
        <f>LEN(TRIM(N98))=0</f>
        <v>1</v>
      </c>
      <c r="P98" t="b">
        <f>AND(N98&gt;0, N98&lt;1000000)</f>
        <v>0</v>
      </c>
      <c r="Q98" t="s">
        <v>124</v>
      </c>
      <c r="R98" s="2" t="b">
        <f>LEN(TRIM(Q98))=0</f>
        <v>0</v>
      </c>
      <c r="S98" s="2" t="str">
        <f>IF(RIGHT(TRIM(Q98),9)="gmail.com","OK","Typo")</f>
        <v>OK</v>
      </c>
      <c r="T98" s="2" t="str">
        <f>A98&amp;D98&amp;G98&amp;I98&amp;K98&amp;N98&amp;Q98</f>
        <v>AliMale54Quetta HR ali73@gmail.com</v>
      </c>
      <c r="U98" s="2" t="b">
        <f>COUNTIF(T:T,T98)&gt;1</f>
        <v>0</v>
      </c>
    </row>
    <row r="99" spans="1:21">
      <c r="A99" t="s">
        <v>91</v>
      </c>
      <c r="B99" t="b">
        <f>LEN(TRIM(A99))=0</f>
        <v>0</v>
      </c>
      <c r="C99" t="b">
        <f>COUNTIF(A:A,A99)&gt;1</f>
        <v>1</v>
      </c>
      <c r="D99" t="s">
        <v>30</v>
      </c>
      <c r="E99" t="b">
        <f>LEN(TRIM(D99))=0</f>
        <v>0</v>
      </c>
      <c r="F99" t="b">
        <f>EXACT(D99,PROPER(D99))</f>
        <v>1</v>
      </c>
      <c r="G99">
        <v>47</v>
      </c>
      <c r="H99" t="b">
        <f>LEN(TRIM(G99))=0</f>
        <v>0</v>
      </c>
      <c r="I99" t="s">
        <v>37</v>
      </c>
      <c r="J99" t="b">
        <f>EXACT(I99,PROPER(I99))</f>
        <v>1</v>
      </c>
      <c r="K99" t="s">
        <v>38</v>
      </c>
      <c r="L99" t="str">
        <f>TRIM(K99)</f>
        <v>Sales</v>
      </c>
      <c r="M99" t="b">
        <f>K99&lt;&gt;L99</f>
        <v>0</v>
      </c>
      <c r="N99">
        <v>95103.66</v>
      </c>
      <c r="O99" t="b">
        <f>LEN(TRIM(N99))=0</f>
        <v>0</v>
      </c>
      <c r="P99" t="b">
        <f>AND(N99&gt;0, N99&lt;1000000)</f>
        <v>1</v>
      </c>
      <c r="Q99" t="s">
        <v>125</v>
      </c>
      <c r="R99" s="2" t="b">
        <f>LEN(TRIM(Q99))=0</f>
        <v>0</v>
      </c>
      <c r="S99" s="2" t="str">
        <f>IF(RIGHT(TRIM(Q99),9)="gmail.com","OK","Typo")</f>
        <v>OK</v>
      </c>
      <c r="T99" s="2" t="str">
        <f>A99&amp;D99&amp;G99&amp;I99&amp;K99&amp;N99&amp;Q99</f>
        <v>AliFemale47IslamabadSales95103.66ali77@gmail.com</v>
      </c>
      <c r="U99" s="2" t="b">
        <f>COUNTIF(T:T,T99)&gt;1</f>
        <v>0</v>
      </c>
    </row>
    <row r="100" spans="1:21">
      <c r="A100" t="s">
        <v>91</v>
      </c>
      <c r="B100" t="b">
        <f>LEN(TRIM(A100))=0</f>
        <v>0</v>
      </c>
      <c r="C100" t="b">
        <f>COUNTIF(A:A,A100)&gt;1</f>
        <v>1</v>
      </c>
      <c r="D100" t="s">
        <v>22</v>
      </c>
      <c r="E100" t="b">
        <f>LEN(TRIM(D100))=0</f>
        <v>0</v>
      </c>
      <c r="F100" t="b">
        <f>EXACT(D100,PROPER(D100))</f>
        <v>1</v>
      </c>
      <c r="H100" t="b">
        <f>LEN(TRIM(G100))=0</f>
        <v>1</v>
      </c>
      <c r="I100" t="s">
        <v>32</v>
      </c>
      <c r="J100" t="b">
        <f>EXACT(I100,PROPER(I100))</f>
        <v>1</v>
      </c>
      <c r="K100" t="s">
        <v>60</v>
      </c>
      <c r="L100" t="str">
        <f>TRIM(K100)</f>
        <v>Finance</v>
      </c>
      <c r="M100" t="b">
        <f>K100&lt;&gt;L100</f>
        <v>1</v>
      </c>
      <c r="O100" t="b">
        <f>LEN(TRIM(N100))=0</f>
        <v>1</v>
      </c>
      <c r="P100" t="b">
        <f>AND(N100&gt;0, N100&lt;1000000)</f>
        <v>0</v>
      </c>
      <c r="Q100" t="s">
        <v>126</v>
      </c>
      <c r="R100" s="2" t="b">
        <f>LEN(TRIM(Q100))=0</f>
        <v>0</v>
      </c>
      <c r="S100" s="2" t="str">
        <f>IF(RIGHT(TRIM(Q100),9)="gmail.com","OK","Typo")</f>
        <v>OK</v>
      </c>
      <c r="T100" s="2" t="str">
        <f>A100&amp;D100&amp;G100&amp;I100&amp;K100&amp;N100&amp;Q100</f>
        <v>AliMaleLahore Finance ali81@gmail.com</v>
      </c>
      <c r="U100" s="2" t="b">
        <f>COUNTIF(T:T,T100)&gt;1</f>
        <v>0</v>
      </c>
    </row>
    <row r="101" spans="1:21">
      <c r="A101" t="s">
        <v>91</v>
      </c>
      <c r="B101" t="b">
        <f>LEN(TRIM(A101))=0</f>
        <v>0</v>
      </c>
      <c r="C101" t="b">
        <f>COUNTIF(A:A,A101)&gt;1</f>
        <v>1</v>
      </c>
      <c r="D101" t="s">
        <v>30</v>
      </c>
      <c r="E101" t="b">
        <f>LEN(TRIM(D101))=0</f>
        <v>0</v>
      </c>
      <c r="F101" t="b">
        <f>EXACT(D101,PROPER(D101))</f>
        <v>1</v>
      </c>
      <c r="H101" t="b">
        <f>LEN(TRIM(G101))=0</f>
        <v>1</v>
      </c>
      <c r="I101" t="s">
        <v>45</v>
      </c>
      <c r="J101" t="b">
        <f>EXACT(I101,PROPER(I101))</f>
        <v>1</v>
      </c>
      <c r="K101" t="s">
        <v>42</v>
      </c>
      <c r="L101" t="str">
        <f>TRIM(K101)</f>
        <v>IT</v>
      </c>
      <c r="M101" t="b">
        <f>K101&lt;&gt;L101</f>
        <v>0</v>
      </c>
      <c r="N101">
        <v>47531.61</v>
      </c>
      <c r="O101" t="b">
        <f>LEN(TRIM(N101))=0</f>
        <v>0</v>
      </c>
      <c r="P101" t="b">
        <f>AND(N101&gt;0, N101&lt;1000000)</f>
        <v>1</v>
      </c>
      <c r="Q101" t="s">
        <v>127</v>
      </c>
      <c r="R101" s="2" t="b">
        <f>LEN(TRIM(Q101))=0</f>
        <v>0</v>
      </c>
      <c r="S101" s="2" t="str">
        <f>IF(RIGHT(TRIM(Q101),9)="gmail.com","OK","Typo")</f>
        <v>OK</v>
      </c>
      <c r="T101" s="2" t="str">
        <f>A101&amp;D101&amp;G101&amp;I101&amp;K101&amp;N101&amp;Q101</f>
        <v>AliFemalePeshawarIT47531.61ali82@gmail.com</v>
      </c>
      <c r="U101" s="2" t="b">
        <f>COUNTIF(T:T,T101)&gt;1</f>
        <v>0</v>
      </c>
    </row>
    <row r="102" spans="1:21">
      <c r="A102" t="s">
        <v>91</v>
      </c>
      <c r="B102" t="b">
        <f>LEN(TRIM(A102))=0</f>
        <v>0</v>
      </c>
      <c r="C102" t="b">
        <f>COUNTIF(A:A,A102)&gt;1</f>
        <v>1</v>
      </c>
      <c r="D102" t="s">
        <v>30</v>
      </c>
      <c r="E102" t="b">
        <f>LEN(TRIM(D102))=0</f>
        <v>0</v>
      </c>
      <c r="F102" t="b">
        <f>EXACT(D102,PROPER(D102))</f>
        <v>1</v>
      </c>
      <c r="H102" t="b">
        <f>LEN(TRIM(G102))=0</f>
        <v>1</v>
      </c>
      <c r="I102" t="s">
        <v>28</v>
      </c>
      <c r="J102" t="b">
        <f>EXACT(I102,PROPER(I102))</f>
        <v>1</v>
      </c>
      <c r="K102" t="s">
        <v>38</v>
      </c>
      <c r="L102" t="str">
        <f>TRIM(K102)</f>
        <v>Sales</v>
      </c>
      <c r="M102" t="b">
        <f>K102&lt;&gt;L102</f>
        <v>0</v>
      </c>
      <c r="N102">
        <v>103922.89</v>
      </c>
      <c r="O102" t="b">
        <f>LEN(TRIM(N102))=0</f>
        <v>0</v>
      </c>
      <c r="P102" t="b">
        <f>AND(N102&gt;0, N102&lt;1000000)</f>
        <v>1</v>
      </c>
      <c r="Q102" t="s">
        <v>128</v>
      </c>
      <c r="R102" s="2" t="b">
        <f>LEN(TRIM(Q102))=0</f>
        <v>0</v>
      </c>
      <c r="S102" s="2" t="str">
        <f>IF(RIGHT(TRIM(Q102),9)="gmail.com","OK","Typo")</f>
        <v>OK</v>
      </c>
      <c r="T102" s="2" t="str">
        <f>A102&amp;D102&amp;G102&amp;I102&amp;K102&amp;N102&amp;Q102</f>
        <v>AliFemaleKarachiSales103922.89ali85@gmail.com</v>
      </c>
      <c r="U102" s="2" t="b">
        <f>COUNTIF(T:T,T102)&gt;1</f>
        <v>0</v>
      </c>
    </row>
    <row r="103" spans="1:21">
      <c r="A103" t="s">
        <v>91</v>
      </c>
      <c r="B103" t="b">
        <f>LEN(TRIM(A103))=0</f>
        <v>0</v>
      </c>
      <c r="C103" t="b">
        <f>COUNTIF(A:A,A103)&gt;1</f>
        <v>1</v>
      </c>
      <c r="D103" t="s">
        <v>22</v>
      </c>
      <c r="E103" t="b">
        <f>LEN(TRIM(D103))=0</f>
        <v>0</v>
      </c>
      <c r="F103" t="b">
        <f>EXACT(D103,PROPER(D103))</f>
        <v>1</v>
      </c>
      <c r="G103">
        <v>24</v>
      </c>
      <c r="H103" t="b">
        <f>LEN(TRIM(G103))=0</f>
        <v>0</v>
      </c>
      <c r="I103" t="s">
        <v>37</v>
      </c>
      <c r="J103" t="b">
        <f>EXACT(I103,PROPER(I103))</f>
        <v>1</v>
      </c>
      <c r="K103" t="s">
        <v>35</v>
      </c>
      <c r="L103" t="str">
        <f>TRIM(K103)</f>
        <v>Marketing</v>
      </c>
      <c r="M103" t="b">
        <f>K103&lt;&gt;L103</f>
        <v>0</v>
      </c>
      <c r="N103">
        <v>59340.53</v>
      </c>
      <c r="O103" t="b">
        <f>LEN(TRIM(N103))=0</f>
        <v>0</v>
      </c>
      <c r="P103" t="b">
        <f>AND(N103&gt;0, N103&lt;1000000)</f>
        <v>1</v>
      </c>
      <c r="Q103" t="s">
        <v>129</v>
      </c>
      <c r="R103" s="2" t="b">
        <f>LEN(TRIM(Q103))=0</f>
        <v>0</v>
      </c>
      <c r="S103" s="2" t="str">
        <f>IF(RIGHT(TRIM(Q103),9)="gmail.com","OK","Typo")</f>
        <v>OK</v>
      </c>
      <c r="T103" s="2" t="str">
        <f>A103&amp;D103&amp;G103&amp;I103&amp;K103&amp;N103&amp;Q103</f>
        <v>AliMale24IslamabadMarketing59340.53ali86@gmail.com</v>
      </c>
      <c r="U103" s="2" t="b">
        <f>COUNTIF(T:T,T103)&gt;1</f>
        <v>0</v>
      </c>
    </row>
    <row r="104" spans="1:21">
      <c r="A104" t="s">
        <v>91</v>
      </c>
      <c r="B104" t="b">
        <f>LEN(TRIM(A104))=0</f>
        <v>0</v>
      </c>
      <c r="C104" t="b">
        <f>COUNTIF(A:A,A104)&gt;1</f>
        <v>1</v>
      </c>
      <c r="D104" t="s">
        <v>22</v>
      </c>
      <c r="E104" t="b">
        <f>LEN(TRIM(D104))=0</f>
        <v>0</v>
      </c>
      <c r="F104" t="b">
        <f>EXACT(D104,PROPER(D104))</f>
        <v>1</v>
      </c>
      <c r="G104">
        <v>33</v>
      </c>
      <c r="H104" t="b">
        <f>LEN(TRIM(G104))=0</f>
        <v>0</v>
      </c>
      <c r="I104" t="s">
        <v>28</v>
      </c>
      <c r="J104" t="b">
        <f>EXACT(I104,PROPER(I104))</f>
        <v>1</v>
      </c>
      <c r="K104" t="s">
        <v>38</v>
      </c>
      <c r="L104" t="str">
        <f>TRIM(K104)</f>
        <v>Sales</v>
      </c>
      <c r="M104" t="b">
        <f>K104&lt;&gt;L104</f>
        <v>0</v>
      </c>
      <c r="N104">
        <v>74574.710000000006</v>
      </c>
      <c r="O104" t="b">
        <f>LEN(TRIM(N104))=0</f>
        <v>0</v>
      </c>
      <c r="P104" t="b">
        <f>AND(N104&gt;0, N104&lt;1000000)</f>
        <v>1</v>
      </c>
      <c r="Q104" t="s">
        <v>130</v>
      </c>
      <c r="R104" s="2" t="b">
        <f>LEN(TRIM(Q104))=0</f>
        <v>0</v>
      </c>
      <c r="S104" s="2" t="str">
        <f>IF(RIGHT(TRIM(Q104),9)="gmail.com","OK","Typo")</f>
        <v>OK</v>
      </c>
      <c r="T104" s="2" t="str">
        <f>A104&amp;D104&amp;G104&amp;I104&amp;K104&amp;N104&amp;Q104</f>
        <v>AliMale33KarachiSales74574.71ali87@gmail.com</v>
      </c>
      <c r="U104" s="2" t="b">
        <f>COUNTIF(T:T,T104)&gt;1</f>
        <v>0</v>
      </c>
    </row>
    <row r="105" spans="1:21">
      <c r="A105" t="s">
        <v>91</v>
      </c>
      <c r="B105" t="b">
        <f>LEN(TRIM(A105))=0</f>
        <v>0</v>
      </c>
      <c r="C105" t="b">
        <f>COUNTIF(A:A,A105)&gt;1</f>
        <v>1</v>
      </c>
      <c r="D105" t="s">
        <v>30</v>
      </c>
      <c r="E105" t="b">
        <f>LEN(TRIM(D105))=0</f>
        <v>0</v>
      </c>
      <c r="F105" t="b">
        <f>EXACT(D105,PROPER(D105))</f>
        <v>1</v>
      </c>
      <c r="H105" t="b">
        <f>LEN(TRIM(G105))=0</f>
        <v>1</v>
      </c>
      <c r="I105" t="s">
        <v>45</v>
      </c>
      <c r="J105" t="b">
        <f>EXACT(I105,PROPER(I105))</f>
        <v>1</v>
      </c>
      <c r="K105" t="s">
        <v>24</v>
      </c>
      <c r="L105" t="str">
        <f>TRIM(K105)</f>
        <v>HR</v>
      </c>
      <c r="M105" t="b">
        <f>K105&lt;&gt;L105</f>
        <v>0</v>
      </c>
      <c r="N105">
        <v>133554.54999999999</v>
      </c>
      <c r="O105" t="b">
        <f>LEN(TRIM(N105))=0</f>
        <v>0</v>
      </c>
      <c r="P105" t="b">
        <f>AND(N105&gt;0, N105&lt;1000000)</f>
        <v>1</v>
      </c>
      <c r="Q105" t="s">
        <v>131</v>
      </c>
      <c r="R105" s="2" t="b">
        <f>LEN(TRIM(Q105))=0</f>
        <v>0</v>
      </c>
      <c r="S105" s="2" t="str">
        <f>IF(RIGHT(TRIM(Q105),9)="gmail.com","OK","Typo")</f>
        <v>OK</v>
      </c>
      <c r="T105" s="2" t="str">
        <f>A105&amp;D105&amp;G105&amp;I105&amp;K105&amp;N105&amp;Q105</f>
        <v>AliFemalePeshawarHR133554.55ali88@gmail.com</v>
      </c>
      <c r="U105" s="2" t="b">
        <f>COUNTIF(T:T,T105)&gt;1</f>
        <v>0</v>
      </c>
    </row>
    <row r="106" spans="1:21">
      <c r="A106" t="s">
        <v>91</v>
      </c>
      <c r="B106" t="b">
        <f>LEN(TRIM(A106))=0</f>
        <v>0</v>
      </c>
      <c r="C106" t="b">
        <f>COUNTIF(A:A,A106)&gt;1</f>
        <v>1</v>
      </c>
      <c r="D106" t="s">
        <v>30</v>
      </c>
      <c r="E106" t="b">
        <f>LEN(TRIM(D106))=0</f>
        <v>0</v>
      </c>
      <c r="F106" t="b">
        <f>EXACT(D106,PROPER(D106))</f>
        <v>1</v>
      </c>
      <c r="G106">
        <v>20</v>
      </c>
      <c r="H106" t="b">
        <f>LEN(TRIM(G106))=0</f>
        <v>0</v>
      </c>
      <c r="I106" t="s">
        <v>28</v>
      </c>
      <c r="J106" t="b">
        <f>EXACT(I106,PROPER(I106))</f>
        <v>1</v>
      </c>
      <c r="K106" t="s">
        <v>35</v>
      </c>
      <c r="L106" t="str">
        <f>TRIM(K106)</f>
        <v>Marketing</v>
      </c>
      <c r="M106" t="b">
        <f>K106&lt;&gt;L106</f>
        <v>0</v>
      </c>
      <c r="O106" t="b">
        <f>LEN(TRIM(N106))=0</f>
        <v>1</v>
      </c>
      <c r="P106" t="b">
        <f>AND(N106&gt;0, N106&lt;1000000)</f>
        <v>0</v>
      </c>
      <c r="Q106" t="s">
        <v>131</v>
      </c>
      <c r="R106" s="2" t="b">
        <f>LEN(TRIM(Q106))=0</f>
        <v>0</v>
      </c>
      <c r="S106" s="2" t="str">
        <f>IF(RIGHT(TRIM(Q106),9)="gmail.com","OK","Typo")</f>
        <v>OK</v>
      </c>
      <c r="T106" s="2" t="str">
        <f>A106&amp;D106&amp;G106&amp;I106&amp;K106&amp;N106&amp;Q106</f>
        <v>AliFemale20KarachiMarketingali88@gmail.com</v>
      </c>
      <c r="U106" s="2" t="b">
        <f>COUNTIF(T:T,T106)&gt;1</f>
        <v>0</v>
      </c>
    </row>
    <row r="107" spans="1:21">
      <c r="A107" t="s">
        <v>91</v>
      </c>
      <c r="B107" t="b">
        <f>LEN(TRIM(A107))=0</f>
        <v>0</v>
      </c>
      <c r="C107" t="b">
        <f>COUNTIF(A:A,A107)&gt;1</f>
        <v>1</v>
      </c>
      <c r="D107" t="s">
        <v>30</v>
      </c>
      <c r="E107" t="b">
        <f>LEN(TRIM(D107))=0</f>
        <v>0</v>
      </c>
      <c r="F107" t="b">
        <f>EXACT(D107,PROPER(D107))</f>
        <v>1</v>
      </c>
      <c r="H107" t="b">
        <f>LEN(TRIM(G107))=0</f>
        <v>1</v>
      </c>
      <c r="I107" t="s">
        <v>45</v>
      </c>
      <c r="J107" t="b">
        <f>EXACT(I107,PROPER(I107))</f>
        <v>1</v>
      </c>
      <c r="K107" t="s">
        <v>24</v>
      </c>
      <c r="L107" t="str">
        <f>TRIM(K107)</f>
        <v>HR</v>
      </c>
      <c r="M107" t="b">
        <f>K107&lt;&gt;L107</f>
        <v>0</v>
      </c>
      <c r="N107">
        <v>132081.17000000001</v>
      </c>
      <c r="O107" t="b">
        <f>LEN(TRIM(N107))=0</f>
        <v>0</v>
      </c>
      <c r="P107" t="b">
        <f>AND(N107&gt;0, N107&lt;1000000)</f>
        <v>1</v>
      </c>
      <c r="Q107" t="s">
        <v>132</v>
      </c>
      <c r="R107" s="2" t="b">
        <f>LEN(TRIM(Q107))=0</f>
        <v>0</v>
      </c>
      <c r="S107" s="2" t="str">
        <f>IF(RIGHT(TRIM(Q107),9)="gmail.com","OK","Typo")</f>
        <v>OK</v>
      </c>
      <c r="T107" s="2" t="str">
        <f>A107&amp;D107&amp;G107&amp;I107&amp;K107&amp;N107&amp;Q107</f>
        <v>AliFemalePeshawarHR132081.17ali90@gmail.com</v>
      </c>
      <c r="U107" s="2" t="b">
        <f>COUNTIF(T:T,T107)&gt;1</f>
        <v>0</v>
      </c>
    </row>
    <row r="108" spans="1:21">
      <c r="A108" t="s">
        <v>91</v>
      </c>
      <c r="B108" t="b">
        <f>LEN(TRIM(A108))=0</f>
        <v>0</v>
      </c>
      <c r="C108" t="b">
        <f>COUNTIF(A:A,A108)&gt;1</f>
        <v>1</v>
      </c>
      <c r="D108" t="s">
        <v>22</v>
      </c>
      <c r="E108" t="b">
        <f>LEN(TRIM(D108))=0</f>
        <v>0</v>
      </c>
      <c r="F108" t="b">
        <f>EXACT(D108,PROPER(D108))</f>
        <v>1</v>
      </c>
      <c r="G108">
        <v>26</v>
      </c>
      <c r="H108" t="b">
        <f>LEN(TRIM(G108))=0</f>
        <v>0</v>
      </c>
      <c r="I108" t="s">
        <v>32</v>
      </c>
      <c r="J108" t="b">
        <f>EXACT(I108,PROPER(I108))</f>
        <v>1</v>
      </c>
      <c r="K108" t="s">
        <v>24</v>
      </c>
      <c r="L108" t="str">
        <f>TRIM(K108)</f>
        <v>HR</v>
      </c>
      <c r="M108" t="b">
        <f>K108&lt;&gt;L108</f>
        <v>0</v>
      </c>
      <c r="N108">
        <v>149978.29</v>
      </c>
      <c r="O108" t="b">
        <f>LEN(TRIM(N108))=0</f>
        <v>0</v>
      </c>
      <c r="P108" t="b">
        <f>AND(N108&gt;0, N108&lt;1000000)</f>
        <v>1</v>
      </c>
      <c r="Q108" t="s">
        <v>133</v>
      </c>
      <c r="R108" s="2" t="b">
        <f>LEN(TRIM(Q108))=0</f>
        <v>0</v>
      </c>
      <c r="S108" s="2" t="str">
        <f>IF(RIGHT(TRIM(Q108),9)="gmail.com","OK","Typo")</f>
        <v>OK</v>
      </c>
      <c r="T108" s="2" t="str">
        <f>A108&amp;D108&amp;G108&amp;I108&amp;K108&amp;N108&amp;Q108</f>
        <v>AliMale26LahoreHR149978.29ali93@gmail.com</v>
      </c>
      <c r="U108" s="2" t="b">
        <f>COUNTIF(T:T,T108)&gt;1</f>
        <v>0</v>
      </c>
    </row>
    <row r="109" spans="1:21">
      <c r="A109" t="s">
        <v>91</v>
      </c>
      <c r="B109" t="b">
        <f>LEN(TRIM(A109))=0</f>
        <v>0</v>
      </c>
      <c r="C109" t="b">
        <f>COUNTIF(A:A,A109)&gt;1</f>
        <v>1</v>
      </c>
      <c r="D109" t="s">
        <v>22</v>
      </c>
      <c r="E109" t="b">
        <f>LEN(TRIM(D109))=0</f>
        <v>0</v>
      </c>
      <c r="F109" t="b">
        <f>EXACT(D109,PROPER(D109))</f>
        <v>1</v>
      </c>
      <c r="H109" t="b">
        <f>LEN(TRIM(G109))=0</f>
        <v>1</v>
      </c>
      <c r="I109" t="s">
        <v>23</v>
      </c>
      <c r="J109" t="b">
        <f>EXACT(I109,PROPER(I109))</f>
        <v>1</v>
      </c>
      <c r="K109" t="s">
        <v>38</v>
      </c>
      <c r="L109" t="str">
        <f>TRIM(K109)</f>
        <v>Sales</v>
      </c>
      <c r="M109" t="b">
        <f>K109&lt;&gt;L109</f>
        <v>0</v>
      </c>
      <c r="N109">
        <v>68345.67</v>
      </c>
      <c r="O109" t="b">
        <f>LEN(TRIM(N109))=0</f>
        <v>0</v>
      </c>
      <c r="P109" t="b">
        <f>AND(N109&gt;0, N109&lt;1000000)</f>
        <v>1</v>
      </c>
      <c r="Q109" t="s">
        <v>133</v>
      </c>
      <c r="R109" s="2" t="b">
        <f>LEN(TRIM(Q109))=0</f>
        <v>0</v>
      </c>
      <c r="S109" s="2" t="str">
        <f>IF(RIGHT(TRIM(Q109),9)="gmail.com","OK","Typo")</f>
        <v>OK</v>
      </c>
      <c r="T109" s="2" t="str">
        <f>A109&amp;D109&amp;G109&amp;I109&amp;K109&amp;N109&amp;Q109</f>
        <v>AliMaleQuettaSales68345.67ali93@gmail.com</v>
      </c>
      <c r="U109" s="2" t="b">
        <f>COUNTIF(T:T,T109)&gt;1</f>
        <v>0</v>
      </c>
    </row>
    <row r="110" spans="1:21">
      <c r="A110" t="s">
        <v>91</v>
      </c>
      <c r="B110" t="b">
        <f>LEN(TRIM(A110))=0</f>
        <v>0</v>
      </c>
      <c r="C110" t="b">
        <f>COUNTIF(A:A,A110)&gt;1</f>
        <v>1</v>
      </c>
      <c r="D110" t="s">
        <v>22</v>
      </c>
      <c r="E110" t="b">
        <f>LEN(TRIM(D110))=0</f>
        <v>0</v>
      </c>
      <c r="F110" t="b">
        <f>EXACT(D110,PROPER(D110))</f>
        <v>1</v>
      </c>
      <c r="H110" t="b">
        <f>LEN(TRIM(G110))=0</f>
        <v>1</v>
      </c>
      <c r="I110" t="s">
        <v>23</v>
      </c>
      <c r="J110" t="b">
        <f>EXACT(I110,PROPER(I110))</f>
        <v>1</v>
      </c>
      <c r="K110" t="s">
        <v>29</v>
      </c>
      <c r="L110" t="str">
        <f>TRIM(K110)</f>
        <v>Finance</v>
      </c>
      <c r="M110" t="b">
        <f>K110&lt;&gt;L110</f>
        <v>0</v>
      </c>
      <c r="O110" t="b">
        <f>LEN(TRIM(N110))=0</f>
        <v>1</v>
      </c>
      <c r="P110" t="b">
        <f>AND(N110&gt;0, N110&lt;1000000)</f>
        <v>0</v>
      </c>
      <c r="Q110" t="s">
        <v>133</v>
      </c>
      <c r="R110" s="2" t="b">
        <f>LEN(TRIM(Q110))=0</f>
        <v>0</v>
      </c>
      <c r="S110" s="2" t="str">
        <f>IF(RIGHT(TRIM(Q110),9)="gmail.com","OK","Typo")</f>
        <v>OK</v>
      </c>
      <c r="T110" s="2" t="str">
        <f>A110&amp;D110&amp;G110&amp;I110&amp;K110&amp;N110&amp;Q110</f>
        <v>AliMaleQuettaFinanceali93@gmail.com</v>
      </c>
      <c r="U110" s="2" t="b">
        <f>COUNTIF(T:T,T110)&gt;1</f>
        <v>0</v>
      </c>
    </row>
    <row r="111" spans="1:21">
      <c r="A111" t="s">
        <v>91</v>
      </c>
      <c r="B111" t="b">
        <f>LEN(TRIM(A111))=0</f>
        <v>0</v>
      </c>
      <c r="C111" t="b">
        <f>COUNTIF(A:A,A111)&gt;1</f>
        <v>1</v>
      </c>
      <c r="D111" t="s">
        <v>30</v>
      </c>
      <c r="E111" t="b">
        <f>LEN(TRIM(D111))=0</f>
        <v>0</v>
      </c>
      <c r="F111" t="b">
        <f>EXACT(D111,PROPER(D111))</f>
        <v>1</v>
      </c>
      <c r="H111" t="b">
        <f>LEN(TRIM(G111))=0</f>
        <v>1</v>
      </c>
      <c r="I111" t="s">
        <v>45</v>
      </c>
      <c r="J111" t="b">
        <f>EXACT(I111,PROPER(I111))</f>
        <v>1</v>
      </c>
      <c r="K111" t="s">
        <v>47</v>
      </c>
      <c r="L111" t="str">
        <f>TRIM(K111)</f>
        <v>Sales</v>
      </c>
      <c r="M111" t="b">
        <f>K111&lt;&gt;L111</f>
        <v>1</v>
      </c>
      <c r="N111">
        <v>88065.97</v>
      </c>
      <c r="O111" t="b">
        <f>LEN(TRIM(N111))=0</f>
        <v>0</v>
      </c>
      <c r="P111" t="b">
        <f>AND(N111&gt;0, N111&lt;1000000)</f>
        <v>1</v>
      </c>
      <c r="Q111" t="s">
        <v>134</v>
      </c>
      <c r="R111" s="2" t="b">
        <f>LEN(TRIM(Q111))=0</f>
        <v>0</v>
      </c>
      <c r="S111" s="2" t="str">
        <f>IF(RIGHT(TRIM(Q111),9)="gmail.com","OK","Typo")</f>
        <v>OK</v>
      </c>
      <c r="T111" s="2" t="str">
        <f>A111&amp;D111&amp;G111&amp;I111&amp;K111&amp;N111&amp;Q111</f>
        <v>AliFemalePeshawar Sales 88065.97ali98@gmail.com</v>
      </c>
      <c r="U111" s="2" t="b">
        <f>COUNTIF(T:T,T111)&gt;1</f>
        <v>0</v>
      </c>
    </row>
    <row r="112" spans="1:21">
      <c r="A112" t="s">
        <v>91</v>
      </c>
      <c r="B112" t="b">
        <f>LEN(TRIM(A112))=0</f>
        <v>0</v>
      </c>
      <c r="C112" t="b">
        <f>COUNTIF(A:A,A112)&gt;1</f>
        <v>1</v>
      </c>
      <c r="D112" t="s">
        <v>30</v>
      </c>
      <c r="E112" t="b">
        <f>LEN(TRIM(D112))=0</f>
        <v>0</v>
      </c>
      <c r="F112" t="b">
        <f>EXACT(D112,PROPER(D112))</f>
        <v>1</v>
      </c>
      <c r="G112">
        <v>52</v>
      </c>
      <c r="H112" t="b">
        <f>LEN(TRIM(G112))=0</f>
        <v>0</v>
      </c>
      <c r="I112" t="s">
        <v>45</v>
      </c>
      <c r="J112" t="b">
        <f>EXACT(I112,PROPER(I112))</f>
        <v>1</v>
      </c>
      <c r="K112" t="s">
        <v>60</v>
      </c>
      <c r="L112" t="str">
        <f>TRIM(K112)</f>
        <v>Finance</v>
      </c>
      <c r="M112" t="b">
        <f>K112&lt;&gt;L112</f>
        <v>1</v>
      </c>
      <c r="N112">
        <v>56089.83</v>
      </c>
      <c r="O112" t="b">
        <f>LEN(TRIM(N112))=0</f>
        <v>0</v>
      </c>
      <c r="P112" t="b">
        <f>AND(N112&gt;0, N112&lt;1000000)</f>
        <v>1</v>
      </c>
      <c r="Q112" t="s">
        <v>134</v>
      </c>
      <c r="R112" s="2" t="b">
        <f>LEN(TRIM(Q112))=0</f>
        <v>0</v>
      </c>
      <c r="S112" s="2" t="str">
        <f>IF(RIGHT(TRIM(Q112),9)="gmail.com","OK","Typo")</f>
        <v>OK</v>
      </c>
      <c r="T112" s="2" t="str">
        <f>A112&amp;D112&amp;G112&amp;I112&amp;K112&amp;N112&amp;Q112</f>
        <v>AliFemale52Peshawar Finance 56089.83ali98@gmail.com</v>
      </c>
      <c r="U112" s="2" t="b">
        <f>COUNTIF(T:T,T112)&gt;1</f>
        <v>0</v>
      </c>
    </row>
    <row r="113" spans="1:21">
      <c r="A113" t="s">
        <v>135</v>
      </c>
      <c r="B113" t="b">
        <f>LEN(TRIM(A113))=0</f>
        <v>0</v>
      </c>
      <c r="C113" t="b">
        <f>COUNTIF(A:A,A113)&gt;1</f>
        <v>1</v>
      </c>
      <c r="D113" t="s">
        <v>22</v>
      </c>
      <c r="E113" t="b">
        <f>LEN(TRIM(D113))=0</f>
        <v>0</v>
      </c>
      <c r="F113" t="b">
        <f>EXACT(D113,PROPER(D113))</f>
        <v>1</v>
      </c>
      <c r="G113">
        <v>42</v>
      </c>
      <c r="H113" t="b">
        <f>LEN(TRIM(G113))=0</f>
        <v>0</v>
      </c>
      <c r="I113" t="s">
        <v>23</v>
      </c>
      <c r="J113" t="b">
        <f>EXACT(I113,PROPER(I113))</f>
        <v>1</v>
      </c>
      <c r="K113" t="s">
        <v>38</v>
      </c>
      <c r="L113" t="str">
        <f>TRIM(K113)</f>
        <v>Sales</v>
      </c>
      <c r="M113" t="b">
        <f>K113&lt;&gt;L113</f>
        <v>0</v>
      </c>
      <c r="N113">
        <v>94029.47</v>
      </c>
      <c r="O113" t="b">
        <f>LEN(TRIM(N113))=0</f>
        <v>0</v>
      </c>
      <c r="P113" t="b">
        <f>AND(N113&gt;0, N113&lt;1000000)</f>
        <v>1</v>
      </c>
      <c r="Q113" t="s">
        <v>136</v>
      </c>
      <c r="R113" s="2" t="b">
        <f>LEN(TRIM(Q113))=0</f>
        <v>0</v>
      </c>
      <c r="S113" s="2" t="str">
        <f>IF(RIGHT(TRIM(Q113),9)="gmail.com","OK","Typo")</f>
        <v>OK</v>
      </c>
      <c r="T113" s="2" t="str">
        <f>A113&amp;D113&amp;G113&amp;I113&amp;K113&amp;N113&amp;Q113</f>
        <v>AyeshaMale42QuettaSales94029.47ayesha11@gmail.com</v>
      </c>
      <c r="U113" s="2" t="b">
        <f>COUNTIF(T:T,T113)&gt;1</f>
        <v>0</v>
      </c>
    </row>
    <row r="114" spans="1:21">
      <c r="A114" t="s">
        <v>135</v>
      </c>
      <c r="B114" t="b">
        <f>LEN(TRIM(A114))=0</f>
        <v>0</v>
      </c>
      <c r="C114" t="b">
        <f>COUNTIF(A:A,A114)&gt;1</f>
        <v>1</v>
      </c>
      <c r="D114" t="s">
        <v>30</v>
      </c>
      <c r="E114" t="b">
        <f>LEN(TRIM(D114))=0</f>
        <v>0</v>
      </c>
      <c r="F114" t="b">
        <f>EXACT(D114,PROPER(D114))</f>
        <v>1</v>
      </c>
      <c r="H114" t="b">
        <f>LEN(TRIM(G114))=0</f>
        <v>1</v>
      </c>
      <c r="I114" t="s">
        <v>37</v>
      </c>
      <c r="J114" t="b">
        <f>EXACT(I114,PROPER(I114))</f>
        <v>1</v>
      </c>
      <c r="K114" t="s">
        <v>38</v>
      </c>
      <c r="L114" t="str">
        <f>TRIM(K114)</f>
        <v>Sales</v>
      </c>
      <c r="M114" t="b">
        <f>K114&lt;&gt;L114</f>
        <v>0</v>
      </c>
      <c r="O114" t="b">
        <f>LEN(TRIM(N114))=0</f>
        <v>1</v>
      </c>
      <c r="P114" t="b">
        <f>AND(N114&gt;0, N114&lt;1000000)</f>
        <v>0</v>
      </c>
      <c r="Q114" t="s">
        <v>137</v>
      </c>
      <c r="R114" s="2" t="b">
        <f>LEN(TRIM(Q114))=0</f>
        <v>0</v>
      </c>
      <c r="S114" s="2" t="str">
        <f>IF(RIGHT(TRIM(Q114),9)="gmail.com","OK","Typo")</f>
        <v>OK</v>
      </c>
      <c r="T114" s="2" t="str">
        <f>A114&amp;D114&amp;G114&amp;I114&amp;K114&amp;N114&amp;Q114</f>
        <v>AyeshaFemaleIslamabadSalesayesha13@gmail.com</v>
      </c>
      <c r="U114" s="2" t="b">
        <f>COUNTIF(T:T,T114)&gt;1</f>
        <v>0</v>
      </c>
    </row>
    <row r="115" spans="1:21">
      <c r="A115" t="s">
        <v>135</v>
      </c>
      <c r="B115" t="b">
        <f>LEN(TRIM(A115))=0</f>
        <v>0</v>
      </c>
      <c r="C115" t="b">
        <f>COUNTIF(A:A,A115)&gt;1</f>
        <v>1</v>
      </c>
      <c r="D115" t="s">
        <v>22</v>
      </c>
      <c r="E115" t="b">
        <f>LEN(TRIM(D115))=0</f>
        <v>0</v>
      </c>
      <c r="F115" t="b">
        <f>EXACT(D115,PROPER(D115))</f>
        <v>1</v>
      </c>
      <c r="H115" t="b">
        <f>LEN(TRIM(G115))=0</f>
        <v>1</v>
      </c>
      <c r="I115" t="s">
        <v>45</v>
      </c>
      <c r="J115" t="b">
        <f>EXACT(I115,PROPER(I115))</f>
        <v>1</v>
      </c>
      <c r="K115" t="s">
        <v>38</v>
      </c>
      <c r="L115" t="str">
        <f>TRIM(K115)</f>
        <v>Sales</v>
      </c>
      <c r="M115" t="b">
        <f>K115&lt;&gt;L115</f>
        <v>0</v>
      </c>
      <c r="O115" t="b">
        <f>LEN(TRIM(N115))=0</f>
        <v>1</v>
      </c>
      <c r="P115" t="b">
        <f>AND(N115&gt;0, N115&lt;1000000)</f>
        <v>0</v>
      </c>
      <c r="Q115" t="s">
        <v>138</v>
      </c>
      <c r="R115" s="2" t="b">
        <f>LEN(TRIM(Q115))=0</f>
        <v>0</v>
      </c>
      <c r="S115" s="2" t="str">
        <f>IF(RIGHT(TRIM(Q115),9)="gmail.com","OK","Typo")</f>
        <v>OK</v>
      </c>
      <c r="T115" s="2" t="str">
        <f>A115&amp;D115&amp;G115&amp;I115&amp;K115&amp;N115&amp;Q115</f>
        <v>AyeshaMalePeshawarSalesayesha23@gmail.com</v>
      </c>
      <c r="U115" s="2" t="b">
        <f>COUNTIF(T:T,T115)&gt;1</f>
        <v>0</v>
      </c>
    </row>
    <row r="116" spans="1:21">
      <c r="A116" t="s">
        <v>135</v>
      </c>
      <c r="B116" t="b">
        <f>LEN(TRIM(A116))=0</f>
        <v>0</v>
      </c>
      <c r="C116" t="b">
        <f>COUNTIF(A:A,A116)&gt;1</f>
        <v>1</v>
      </c>
      <c r="D116" t="s">
        <v>22</v>
      </c>
      <c r="E116" t="b">
        <f>LEN(TRIM(D116))=0</f>
        <v>0</v>
      </c>
      <c r="F116" t="b">
        <f>EXACT(D116,PROPER(D116))</f>
        <v>1</v>
      </c>
      <c r="G116">
        <v>40</v>
      </c>
      <c r="H116" t="b">
        <f>LEN(TRIM(G116))=0</f>
        <v>0</v>
      </c>
      <c r="I116" t="s">
        <v>52</v>
      </c>
      <c r="J116" t="b">
        <f>EXACT(I116,PROPER(I116))</f>
        <v>0</v>
      </c>
      <c r="K116" t="s">
        <v>24</v>
      </c>
      <c r="L116" t="str">
        <f>TRIM(K116)</f>
        <v>HR</v>
      </c>
      <c r="M116" t="b">
        <f>K116&lt;&gt;L116</f>
        <v>0</v>
      </c>
      <c r="N116">
        <v>123880.8</v>
      </c>
      <c r="O116" t="b">
        <f>LEN(TRIM(N116))=0</f>
        <v>0</v>
      </c>
      <c r="P116" t="b">
        <f>AND(N116&gt;0, N116&lt;1000000)</f>
        <v>1</v>
      </c>
      <c r="Q116" t="s">
        <v>139</v>
      </c>
      <c r="R116" s="2" t="b">
        <f>LEN(TRIM(Q116))=0</f>
        <v>0</v>
      </c>
      <c r="S116" s="2" t="str">
        <f>IF(RIGHT(TRIM(Q116),9)="gmail.com","OK","Typo")</f>
        <v>OK</v>
      </c>
      <c r="T116" s="2" t="str">
        <f>A116&amp;D116&amp;G116&amp;I116&amp;K116&amp;N116&amp;Q116</f>
        <v>AyeshaMale40lahoreHR123880.8ayesha25@gmail.com</v>
      </c>
      <c r="U116" s="2" t="b">
        <f>COUNTIF(T:T,T116)&gt;1</f>
        <v>0</v>
      </c>
    </row>
    <row r="117" spans="1:21">
      <c r="A117" t="s">
        <v>135</v>
      </c>
      <c r="B117" t="b">
        <f>LEN(TRIM(A117))=0</f>
        <v>0</v>
      </c>
      <c r="C117" t="b">
        <f>COUNTIF(A:A,A117)&gt;1</f>
        <v>1</v>
      </c>
      <c r="D117" t="s">
        <v>30</v>
      </c>
      <c r="E117" t="b">
        <f>LEN(TRIM(D117))=0</f>
        <v>0</v>
      </c>
      <c r="F117" t="b">
        <f>EXACT(D117,PROPER(D117))</f>
        <v>1</v>
      </c>
      <c r="H117" t="b">
        <f>LEN(TRIM(G117))=0</f>
        <v>1</v>
      </c>
      <c r="I117" t="s">
        <v>45</v>
      </c>
      <c r="J117" t="b">
        <f>EXACT(I117,PROPER(I117))</f>
        <v>1</v>
      </c>
      <c r="K117" t="s">
        <v>29</v>
      </c>
      <c r="L117" t="str">
        <f>TRIM(K117)</f>
        <v>Finance</v>
      </c>
      <c r="M117" t="b">
        <f>K117&lt;&gt;L117</f>
        <v>0</v>
      </c>
      <c r="O117" t="b">
        <f>LEN(TRIM(N117))=0</f>
        <v>1</v>
      </c>
      <c r="P117" t="b">
        <f>AND(N117&gt;0, N117&lt;1000000)</f>
        <v>0</v>
      </c>
      <c r="Q117" t="s">
        <v>140</v>
      </c>
      <c r="R117" s="2" t="b">
        <f>LEN(TRIM(Q117))=0</f>
        <v>0</v>
      </c>
      <c r="S117" s="2" t="str">
        <f>IF(RIGHT(TRIM(Q117),9)="gmail.com","OK","Typo")</f>
        <v>OK</v>
      </c>
      <c r="T117" s="2" t="str">
        <f>A117&amp;D117&amp;G117&amp;I117&amp;K117&amp;N117&amp;Q117</f>
        <v>AyeshaFemalePeshawarFinanceayesha28@gmail.com</v>
      </c>
      <c r="U117" s="2" t="b">
        <f>COUNTIF(T:T,T117)&gt;1</f>
        <v>0</v>
      </c>
    </row>
    <row r="118" spans="1:21">
      <c r="A118" t="s">
        <v>135</v>
      </c>
      <c r="B118" t="b">
        <f>LEN(TRIM(A118))=0</f>
        <v>0</v>
      </c>
      <c r="C118" t="b">
        <f>COUNTIF(A:A,A118)&gt;1</f>
        <v>1</v>
      </c>
      <c r="D118" t="s">
        <v>30</v>
      </c>
      <c r="E118" t="b">
        <f>LEN(TRIM(D118))=0</f>
        <v>0</v>
      </c>
      <c r="F118" t="b">
        <f>EXACT(D118,PROPER(D118))</f>
        <v>1</v>
      </c>
      <c r="G118">
        <v>56</v>
      </c>
      <c r="H118" t="b">
        <f>LEN(TRIM(G118))=0</f>
        <v>0</v>
      </c>
      <c r="I118" t="s">
        <v>37</v>
      </c>
      <c r="J118" t="b">
        <f>EXACT(I118,PROPER(I118))</f>
        <v>1</v>
      </c>
      <c r="K118" t="s">
        <v>24</v>
      </c>
      <c r="L118" t="str">
        <f>TRIM(K118)</f>
        <v>HR</v>
      </c>
      <c r="M118" t="b">
        <f>K118&lt;&gt;L118</f>
        <v>0</v>
      </c>
      <c r="O118" t="b">
        <f>LEN(TRIM(N118))=0</f>
        <v>1</v>
      </c>
      <c r="P118" t="b">
        <f>AND(N118&gt;0, N118&lt;1000000)</f>
        <v>0</v>
      </c>
      <c r="Q118" t="s">
        <v>141</v>
      </c>
      <c r="R118" s="2" t="b">
        <f>LEN(TRIM(Q118))=0</f>
        <v>0</v>
      </c>
      <c r="S118" s="2" t="str">
        <f>IF(RIGHT(TRIM(Q118),9)="gmail.com","OK","Typo")</f>
        <v>OK</v>
      </c>
      <c r="T118" s="2" t="str">
        <f>A118&amp;D118&amp;G118&amp;I118&amp;K118&amp;N118&amp;Q118</f>
        <v>AyeshaFemale56IslamabadHRayesha3@gmail.com</v>
      </c>
      <c r="U118" s="2" t="b">
        <f>COUNTIF(T:T,T118)&gt;1</f>
        <v>0</v>
      </c>
    </row>
    <row r="119" spans="1:21">
      <c r="A119" t="s">
        <v>135</v>
      </c>
      <c r="B119" t="b">
        <f>LEN(TRIM(A119))=0</f>
        <v>0</v>
      </c>
      <c r="C119" t="b">
        <f>COUNTIF(A:A,A119)&gt;1</f>
        <v>1</v>
      </c>
      <c r="D119" t="s">
        <v>22</v>
      </c>
      <c r="E119" t="b">
        <f>LEN(TRIM(D119))=0</f>
        <v>0</v>
      </c>
      <c r="F119" t="b">
        <f>EXACT(D119,PROPER(D119))</f>
        <v>1</v>
      </c>
      <c r="H119" t="b">
        <f>LEN(TRIM(G119))=0</f>
        <v>1</v>
      </c>
      <c r="I119" t="s">
        <v>23</v>
      </c>
      <c r="J119" t="b">
        <f>EXACT(I119,PROPER(I119))</f>
        <v>1</v>
      </c>
      <c r="K119" t="s">
        <v>24</v>
      </c>
      <c r="L119" t="str">
        <f>TRIM(K119)</f>
        <v>HR</v>
      </c>
      <c r="M119" t="b">
        <f>K119&lt;&gt;L119</f>
        <v>0</v>
      </c>
      <c r="N119">
        <v>41729.69</v>
      </c>
      <c r="O119" t="b">
        <f>LEN(TRIM(N119))=0</f>
        <v>0</v>
      </c>
      <c r="P119" t="b">
        <f>AND(N119&gt;0, N119&lt;1000000)</f>
        <v>1</v>
      </c>
      <c r="Q119" t="s">
        <v>142</v>
      </c>
      <c r="R119" s="2" t="b">
        <f>LEN(TRIM(Q119))=0</f>
        <v>0</v>
      </c>
      <c r="S119" s="2" t="str">
        <f>IF(RIGHT(TRIM(Q119),9)="gmail.com","OK","Typo")</f>
        <v>OK</v>
      </c>
      <c r="T119" s="2" t="str">
        <f>A119&amp;D119&amp;G119&amp;I119&amp;K119&amp;N119&amp;Q119</f>
        <v>AyeshaMaleQuettaHR41729.69ayesha31@gmail.com</v>
      </c>
      <c r="U119" s="2" t="b">
        <f>COUNTIF(T:T,T119)&gt;1</f>
        <v>0</v>
      </c>
    </row>
    <row r="120" spans="1:21">
      <c r="A120" t="s">
        <v>135</v>
      </c>
      <c r="B120" t="b">
        <f>LEN(TRIM(A120))=0</f>
        <v>0</v>
      </c>
      <c r="C120" t="b">
        <f>COUNTIF(A:A,A120)&gt;1</f>
        <v>1</v>
      </c>
      <c r="D120" t="s">
        <v>22</v>
      </c>
      <c r="E120" t="b">
        <f>LEN(TRIM(D120))=0</f>
        <v>0</v>
      </c>
      <c r="F120" t="b">
        <f>EXACT(D120,PROPER(D120))</f>
        <v>1</v>
      </c>
      <c r="G120">
        <v>54</v>
      </c>
      <c r="H120" t="b">
        <f>LEN(TRIM(G120))=0</f>
        <v>0</v>
      </c>
      <c r="I120" t="s">
        <v>23</v>
      </c>
      <c r="J120" t="b">
        <f>EXACT(I120,PROPER(I120))</f>
        <v>1</v>
      </c>
      <c r="K120" t="s">
        <v>26</v>
      </c>
      <c r="L120" t="str">
        <f>TRIM(K120)</f>
        <v>HR</v>
      </c>
      <c r="M120" t="b">
        <f>K120&lt;&gt;L120</f>
        <v>1</v>
      </c>
      <c r="O120" t="b">
        <f>LEN(TRIM(N120))=0</f>
        <v>1</v>
      </c>
      <c r="P120" t="b">
        <f>AND(N120&gt;0, N120&lt;1000000)</f>
        <v>0</v>
      </c>
      <c r="Q120" t="s">
        <v>143</v>
      </c>
      <c r="R120" s="2" t="b">
        <f>LEN(TRIM(Q120))=0</f>
        <v>0</v>
      </c>
      <c r="S120" s="2" t="str">
        <f>IF(RIGHT(TRIM(Q120),9)="gmail.com","OK","Typo")</f>
        <v>OK</v>
      </c>
      <c r="T120" s="2" t="str">
        <f>A120&amp;D120&amp;G120&amp;I120&amp;K120&amp;N120&amp;Q120</f>
        <v>AyeshaMale54Quetta HR ayesha34@gmail.com</v>
      </c>
      <c r="U120" s="2" t="b">
        <f>COUNTIF(T:T,T120)&gt;1</f>
        <v>0</v>
      </c>
    </row>
    <row r="121" spans="1:21">
      <c r="A121" t="s">
        <v>135</v>
      </c>
      <c r="B121" t="b">
        <f>LEN(TRIM(A121))=0</f>
        <v>0</v>
      </c>
      <c r="C121" t="b">
        <f>COUNTIF(A:A,A121)&gt;1</f>
        <v>1</v>
      </c>
      <c r="D121" t="s">
        <v>22</v>
      </c>
      <c r="E121" t="b">
        <f>LEN(TRIM(D121))=0</f>
        <v>0</v>
      </c>
      <c r="F121" t="b">
        <f>EXACT(D121,PROPER(D121))</f>
        <v>1</v>
      </c>
      <c r="G121">
        <v>50</v>
      </c>
      <c r="H121" t="b">
        <f>LEN(TRIM(G121))=0</f>
        <v>0</v>
      </c>
      <c r="I121" t="s">
        <v>32</v>
      </c>
      <c r="J121" t="b">
        <f>EXACT(I121,PROPER(I121))</f>
        <v>1</v>
      </c>
      <c r="K121" t="s">
        <v>35</v>
      </c>
      <c r="L121" t="str">
        <f>TRIM(K121)</f>
        <v>Marketing</v>
      </c>
      <c r="M121" t="b">
        <f>K121&lt;&gt;L121</f>
        <v>0</v>
      </c>
      <c r="O121" t="b">
        <f>LEN(TRIM(N121))=0</f>
        <v>1</v>
      </c>
      <c r="P121" t="b">
        <f>AND(N121&gt;0, N121&lt;1000000)</f>
        <v>0</v>
      </c>
      <c r="Q121" t="s">
        <v>144</v>
      </c>
      <c r="R121" s="2" t="b">
        <f>LEN(TRIM(Q121))=0</f>
        <v>0</v>
      </c>
      <c r="S121" s="2" t="str">
        <f>IF(RIGHT(TRIM(Q121),9)="gmail.com","OK","Typo")</f>
        <v>OK</v>
      </c>
      <c r="T121" s="2" t="str">
        <f>A121&amp;D121&amp;G121&amp;I121&amp;K121&amp;N121&amp;Q121</f>
        <v>AyeshaMale50LahoreMarketingayesha35@gmail.com</v>
      </c>
      <c r="U121" s="2" t="b">
        <f>COUNTIF(T:T,T121)&gt;1</f>
        <v>0</v>
      </c>
    </row>
    <row r="122" spans="1:21">
      <c r="A122" t="s">
        <v>135</v>
      </c>
      <c r="B122" t="b">
        <f>LEN(TRIM(A122))=0</f>
        <v>0</v>
      </c>
      <c r="C122" t="b">
        <f>COUNTIF(A:A,A122)&gt;1</f>
        <v>1</v>
      </c>
      <c r="D122" t="s">
        <v>22</v>
      </c>
      <c r="E122" t="b">
        <f>LEN(TRIM(D122))=0</f>
        <v>0</v>
      </c>
      <c r="F122" t="b">
        <f>EXACT(D122,PROPER(D122))</f>
        <v>1</v>
      </c>
      <c r="H122" t="b">
        <f>LEN(TRIM(G122))=0</f>
        <v>1</v>
      </c>
      <c r="I122" t="s">
        <v>37</v>
      </c>
      <c r="J122" t="b">
        <f>EXACT(I122,PROPER(I122))</f>
        <v>1</v>
      </c>
      <c r="K122" t="s">
        <v>38</v>
      </c>
      <c r="L122" t="str">
        <f>TRIM(K122)</f>
        <v>Sales</v>
      </c>
      <c r="M122" t="b">
        <f>K122&lt;&gt;L122</f>
        <v>0</v>
      </c>
      <c r="O122" t="b">
        <f>LEN(TRIM(N122))=0</f>
        <v>1</v>
      </c>
      <c r="P122" t="b">
        <f>AND(N122&gt;0, N122&lt;1000000)</f>
        <v>0</v>
      </c>
      <c r="Q122" t="s">
        <v>145</v>
      </c>
      <c r="R122" s="2" t="b">
        <f>LEN(TRIM(Q122))=0</f>
        <v>0</v>
      </c>
      <c r="S122" s="2" t="str">
        <f>IF(RIGHT(TRIM(Q122),9)="gmail.com","OK","Typo")</f>
        <v>OK</v>
      </c>
      <c r="T122" s="2" t="str">
        <f>A122&amp;D122&amp;G122&amp;I122&amp;K122&amp;N122&amp;Q122</f>
        <v>AyeshaMaleIslamabadSalesayesha36@gmail.com</v>
      </c>
      <c r="U122" s="2" t="b">
        <f>COUNTIF(T:T,T122)&gt;1</f>
        <v>0</v>
      </c>
    </row>
    <row r="123" spans="1:21">
      <c r="A123" t="s">
        <v>135</v>
      </c>
      <c r="B123" t="b">
        <f>LEN(TRIM(A123))=0</f>
        <v>0</v>
      </c>
      <c r="C123" t="b">
        <f>COUNTIF(A:A,A123)&gt;1</f>
        <v>1</v>
      </c>
      <c r="D123" t="s">
        <v>30</v>
      </c>
      <c r="E123" t="b">
        <f>LEN(TRIM(D123))=0</f>
        <v>0</v>
      </c>
      <c r="F123" t="b">
        <f>EXACT(D123,PROPER(D123))</f>
        <v>1</v>
      </c>
      <c r="G123">
        <v>50</v>
      </c>
      <c r="H123" t="b">
        <f>LEN(TRIM(G123))=0</f>
        <v>0</v>
      </c>
      <c r="I123" t="s">
        <v>28</v>
      </c>
      <c r="J123" t="b">
        <f>EXACT(I123,PROPER(I123))</f>
        <v>1</v>
      </c>
      <c r="K123" t="s">
        <v>38</v>
      </c>
      <c r="L123" t="str">
        <f>TRIM(K123)</f>
        <v>Sales</v>
      </c>
      <c r="M123" t="b">
        <f>K123&lt;&gt;L123</f>
        <v>0</v>
      </c>
      <c r="O123" t="b">
        <f>LEN(TRIM(N123))=0</f>
        <v>1</v>
      </c>
      <c r="P123" t="b">
        <f>AND(N123&gt;0, N123&lt;1000000)</f>
        <v>0</v>
      </c>
      <c r="Q123" t="s">
        <v>146</v>
      </c>
      <c r="R123" s="2" t="b">
        <f>LEN(TRIM(Q123))=0</f>
        <v>0</v>
      </c>
      <c r="S123" s="2" t="str">
        <f>IF(RIGHT(TRIM(Q123),9)="gmail.com","OK","Typo")</f>
        <v>OK</v>
      </c>
      <c r="T123" s="2" t="str">
        <f>A123&amp;D123&amp;G123&amp;I123&amp;K123&amp;N123&amp;Q123</f>
        <v>AyeshaFemale50KarachiSalesayesha37@gmail.com</v>
      </c>
      <c r="U123" s="2" t="b">
        <f>COUNTIF(T:T,T123)&gt;1</f>
        <v>0</v>
      </c>
    </row>
    <row r="124" spans="1:21">
      <c r="A124" t="s">
        <v>135</v>
      </c>
      <c r="B124" t="b">
        <f>LEN(TRIM(A124))=0</f>
        <v>0</v>
      </c>
      <c r="C124" t="b">
        <f>COUNTIF(A:A,A124)&gt;1</f>
        <v>1</v>
      </c>
      <c r="D124" t="s">
        <v>22</v>
      </c>
      <c r="E124" t="b">
        <f>LEN(TRIM(D124))=0</f>
        <v>0</v>
      </c>
      <c r="F124" t="b">
        <f>EXACT(D124,PROPER(D124))</f>
        <v>1</v>
      </c>
      <c r="G124">
        <v>26</v>
      </c>
      <c r="H124" t="b">
        <f>LEN(TRIM(G124))=0</f>
        <v>0</v>
      </c>
      <c r="I124" t="s">
        <v>101</v>
      </c>
      <c r="J124" t="b">
        <f>EXACT(I124,PROPER(I124))</f>
        <v>0</v>
      </c>
      <c r="K124" t="s">
        <v>47</v>
      </c>
      <c r="L124" t="str">
        <f>TRIM(K124)</f>
        <v>Sales</v>
      </c>
      <c r="M124" t="b">
        <f>K124&lt;&gt;L124</f>
        <v>1</v>
      </c>
      <c r="N124">
        <v>45170.94</v>
      </c>
      <c r="O124" t="b">
        <f>LEN(TRIM(N124))=0</f>
        <v>0</v>
      </c>
      <c r="P124" t="b">
        <f>AND(N124&gt;0, N124&lt;1000000)</f>
        <v>1</v>
      </c>
      <c r="Q124" t="s">
        <v>147</v>
      </c>
      <c r="R124" s="2" t="b">
        <f>LEN(TRIM(Q124))=0</f>
        <v>0</v>
      </c>
      <c r="S124" s="2" t="str">
        <f>IF(RIGHT(TRIM(Q124),9)="gmail.com","OK","Typo")</f>
        <v>OK</v>
      </c>
      <c r="T124" s="2" t="str">
        <f>A124&amp;D124&amp;G124&amp;I124&amp;K124&amp;N124&amp;Q124</f>
        <v>AyeshaMale26peshawar Sales 45170.94ayesha4@gmail.com</v>
      </c>
      <c r="U124" s="2" t="b">
        <f>COUNTIF(T:T,T124)&gt;1</f>
        <v>0</v>
      </c>
    </row>
    <row r="125" spans="1:21">
      <c r="A125" t="s">
        <v>135</v>
      </c>
      <c r="B125" t="b">
        <f>LEN(TRIM(A125))=0</f>
        <v>0</v>
      </c>
      <c r="C125" t="b">
        <f>COUNTIF(A:A,A125)&gt;1</f>
        <v>1</v>
      </c>
      <c r="D125" t="s">
        <v>22</v>
      </c>
      <c r="E125" t="b">
        <f>LEN(TRIM(D125))=0</f>
        <v>0</v>
      </c>
      <c r="F125" t="b">
        <f>EXACT(D125,PROPER(D125))</f>
        <v>1</v>
      </c>
      <c r="H125" t="b">
        <f>LEN(TRIM(G125))=0</f>
        <v>1</v>
      </c>
      <c r="I125" t="s">
        <v>23</v>
      </c>
      <c r="J125" t="b">
        <f>EXACT(I125,PROPER(I125))</f>
        <v>1</v>
      </c>
      <c r="K125" t="s">
        <v>38</v>
      </c>
      <c r="L125" t="str">
        <f>TRIM(K125)</f>
        <v>Sales</v>
      </c>
      <c r="M125" t="b">
        <f>K125&lt;&gt;L125</f>
        <v>0</v>
      </c>
      <c r="N125">
        <v>98294.96</v>
      </c>
      <c r="O125" t="b">
        <f>LEN(TRIM(N125))=0</f>
        <v>0</v>
      </c>
      <c r="P125" t="b">
        <f>AND(N125&gt;0, N125&lt;1000000)</f>
        <v>1</v>
      </c>
      <c r="Q125" t="s">
        <v>148</v>
      </c>
      <c r="R125" s="2" t="b">
        <f>LEN(TRIM(Q125))=0</f>
        <v>0</v>
      </c>
      <c r="S125" s="2" t="str">
        <f>IF(RIGHT(TRIM(Q125),9)="gmail.com","OK","Typo")</f>
        <v>Typo</v>
      </c>
      <c r="T125" s="2" t="str">
        <f>A125&amp;D125&amp;G125&amp;I125&amp;K125&amp;N125&amp;Q125</f>
        <v>AyeshaMaleQuettaSales98294.96ayesha41@gamil.com</v>
      </c>
      <c r="U125" s="2" t="b">
        <f>COUNTIF(T:T,T125)&gt;1</f>
        <v>0</v>
      </c>
    </row>
    <row r="126" spans="1:21">
      <c r="A126" t="s">
        <v>135</v>
      </c>
      <c r="B126" t="b">
        <f>LEN(TRIM(A126))=0</f>
        <v>0</v>
      </c>
      <c r="C126" t="b">
        <f>COUNTIF(A:A,A126)&gt;1</f>
        <v>1</v>
      </c>
      <c r="D126" t="s">
        <v>30</v>
      </c>
      <c r="E126" t="b">
        <f>LEN(TRIM(D126))=0</f>
        <v>0</v>
      </c>
      <c r="F126" t="b">
        <f>EXACT(D126,PROPER(D126))</f>
        <v>1</v>
      </c>
      <c r="H126" t="b">
        <f>LEN(TRIM(G126))=0</f>
        <v>1</v>
      </c>
      <c r="I126" t="s">
        <v>32</v>
      </c>
      <c r="J126" t="b">
        <f>EXACT(I126,PROPER(I126))</f>
        <v>1</v>
      </c>
      <c r="K126" t="s">
        <v>42</v>
      </c>
      <c r="L126" t="str">
        <f>TRIM(K126)</f>
        <v>IT</v>
      </c>
      <c r="M126" t="b">
        <f>K126&lt;&gt;L126</f>
        <v>0</v>
      </c>
      <c r="N126">
        <v>107974.38</v>
      </c>
      <c r="O126" t="b">
        <f>LEN(TRIM(N126))=0</f>
        <v>0</v>
      </c>
      <c r="P126" t="b">
        <f>AND(N126&gt;0, N126&lt;1000000)</f>
        <v>1</v>
      </c>
      <c r="Q126" t="s">
        <v>149</v>
      </c>
      <c r="R126" s="2" t="b">
        <f>LEN(TRIM(Q126))=0</f>
        <v>0</v>
      </c>
      <c r="S126" s="2" t="str">
        <f>IF(RIGHT(TRIM(Q126),9)="gmail.com","OK","Typo")</f>
        <v>OK</v>
      </c>
      <c r="T126" s="2" t="str">
        <f>A126&amp;D126&amp;G126&amp;I126&amp;K126&amp;N126&amp;Q126</f>
        <v>AyeshaFemaleLahoreIT107974.38ayesha48@gmail.com</v>
      </c>
      <c r="U126" s="2" t="b">
        <f>COUNTIF(T:T,T126)&gt;1</f>
        <v>0</v>
      </c>
    </row>
    <row r="127" spans="1:21">
      <c r="A127" t="s">
        <v>135</v>
      </c>
      <c r="B127" t="b">
        <f>LEN(TRIM(A127))=0</f>
        <v>0</v>
      </c>
      <c r="C127" t="b">
        <f>COUNTIF(A:A,A127)&gt;1</f>
        <v>1</v>
      </c>
      <c r="D127" t="s">
        <v>22</v>
      </c>
      <c r="E127" t="b">
        <f>LEN(TRIM(D127))=0</f>
        <v>0</v>
      </c>
      <c r="F127" t="b">
        <f>EXACT(D127,PROPER(D127))</f>
        <v>1</v>
      </c>
      <c r="G127">
        <v>55</v>
      </c>
      <c r="H127" t="b">
        <f>LEN(TRIM(G127))=0</f>
        <v>0</v>
      </c>
      <c r="I127" t="s">
        <v>66</v>
      </c>
      <c r="J127" t="b">
        <f>EXACT(I127,PROPER(I127))</f>
        <v>0</v>
      </c>
      <c r="K127" t="s">
        <v>35</v>
      </c>
      <c r="L127" t="str">
        <f>TRIM(K127)</f>
        <v>Marketing</v>
      </c>
      <c r="M127" t="b">
        <f>K127&lt;&gt;L127</f>
        <v>0</v>
      </c>
      <c r="O127" t="b">
        <f>LEN(TRIM(N127))=0</f>
        <v>1</v>
      </c>
      <c r="P127" t="b">
        <f>AND(N127&gt;0, N127&lt;1000000)</f>
        <v>0</v>
      </c>
      <c r="Q127" t="s">
        <v>150</v>
      </c>
      <c r="R127" s="2" t="b">
        <f>LEN(TRIM(Q127))=0</f>
        <v>0</v>
      </c>
      <c r="S127" s="2" t="str">
        <f>IF(RIGHT(TRIM(Q127),9)="gmail.com","OK","Typo")</f>
        <v>OK</v>
      </c>
      <c r="T127" s="2" t="str">
        <f>A127&amp;D127&amp;G127&amp;I127&amp;K127&amp;N127&amp;Q127</f>
        <v>AyeshaMale55karachiMarketingayesha5@gmail.com</v>
      </c>
      <c r="U127" s="2" t="b">
        <f>COUNTIF(T:T,T127)&gt;1</f>
        <v>0</v>
      </c>
    </row>
    <row r="128" spans="1:21">
      <c r="A128" t="s">
        <v>135</v>
      </c>
      <c r="B128" t="b">
        <f>LEN(TRIM(A128))=0</f>
        <v>0</v>
      </c>
      <c r="C128" t="b">
        <f>COUNTIF(A:A,A128)&gt;1</f>
        <v>1</v>
      </c>
      <c r="D128" t="s">
        <v>22</v>
      </c>
      <c r="E128" t="b">
        <f>LEN(TRIM(D128))=0</f>
        <v>0</v>
      </c>
      <c r="F128" t="b">
        <f>EXACT(D128,PROPER(D128))</f>
        <v>1</v>
      </c>
      <c r="H128" t="b">
        <f>LEN(TRIM(G128))=0</f>
        <v>1</v>
      </c>
      <c r="I128" t="s">
        <v>28</v>
      </c>
      <c r="J128" t="b">
        <f>EXACT(I128,PROPER(I128))</f>
        <v>1</v>
      </c>
      <c r="K128" t="s">
        <v>35</v>
      </c>
      <c r="L128" t="str">
        <f>TRIM(K128)</f>
        <v>Marketing</v>
      </c>
      <c r="M128" t="b">
        <f>K128&lt;&gt;L128</f>
        <v>0</v>
      </c>
      <c r="N128">
        <v>122647.93</v>
      </c>
      <c r="O128" t="b">
        <f>LEN(TRIM(N128))=0</f>
        <v>0</v>
      </c>
      <c r="P128" t="b">
        <f>AND(N128&gt;0, N128&lt;1000000)</f>
        <v>1</v>
      </c>
      <c r="Q128" t="s">
        <v>151</v>
      </c>
      <c r="R128" s="2" t="b">
        <f>LEN(TRIM(Q128))=0</f>
        <v>0</v>
      </c>
      <c r="S128" s="2" t="str">
        <f>IF(RIGHT(TRIM(Q128),9)="gmail.com","OK","Typo")</f>
        <v>OK</v>
      </c>
      <c r="T128" s="2" t="str">
        <f>A128&amp;D128&amp;G128&amp;I128&amp;K128&amp;N128&amp;Q128</f>
        <v>AyeshaMaleKarachiMarketing122647.93ayesha52@gmail.com</v>
      </c>
      <c r="U128" s="2" t="b">
        <f>COUNTIF(T:T,T128)&gt;1</f>
        <v>0</v>
      </c>
    </row>
    <row r="129" spans="1:21">
      <c r="A129" t="s">
        <v>135</v>
      </c>
      <c r="B129" t="b">
        <f>LEN(TRIM(A129))=0</f>
        <v>0</v>
      </c>
      <c r="C129" t="b">
        <f>COUNTIF(A:A,A129)&gt;1</f>
        <v>1</v>
      </c>
      <c r="D129" t="s">
        <v>30</v>
      </c>
      <c r="E129" t="b">
        <f>LEN(TRIM(D129))=0</f>
        <v>0</v>
      </c>
      <c r="F129" t="b">
        <f>EXACT(D129,PROPER(D129))</f>
        <v>1</v>
      </c>
      <c r="H129" t="b">
        <f>LEN(TRIM(G129))=0</f>
        <v>1</v>
      </c>
      <c r="I129" t="s">
        <v>66</v>
      </c>
      <c r="J129" t="b">
        <f>EXACT(I129,PROPER(I129))</f>
        <v>0</v>
      </c>
      <c r="K129" t="s">
        <v>24</v>
      </c>
      <c r="L129" t="str">
        <f>TRIM(K129)</f>
        <v>HR</v>
      </c>
      <c r="M129" t="b">
        <f>K129&lt;&gt;L129</f>
        <v>0</v>
      </c>
      <c r="O129" t="b">
        <f>LEN(TRIM(N129))=0</f>
        <v>1</v>
      </c>
      <c r="P129" t="b">
        <f>AND(N129&gt;0, N129&lt;1000000)</f>
        <v>0</v>
      </c>
      <c r="Q129" t="s">
        <v>152</v>
      </c>
      <c r="R129" s="2" t="b">
        <f>LEN(TRIM(Q129))=0</f>
        <v>0</v>
      </c>
      <c r="S129" s="2" t="str">
        <f>IF(RIGHT(TRIM(Q129),9)="gmail.com","OK","Typo")</f>
        <v>Typo</v>
      </c>
      <c r="T129" s="2" t="str">
        <f>A129&amp;D129&amp;G129&amp;I129&amp;K129&amp;N129&amp;Q129</f>
        <v>AyeshaFemalekarachiHRayesha54@gamil.com</v>
      </c>
      <c r="U129" s="2" t="b">
        <f>COUNTIF(T:T,T129)&gt;1</f>
        <v>0</v>
      </c>
    </row>
    <row r="130" spans="1:21">
      <c r="A130" t="s">
        <v>135</v>
      </c>
      <c r="B130" t="b">
        <f>LEN(TRIM(A130))=0</f>
        <v>0</v>
      </c>
      <c r="C130" t="b">
        <f>COUNTIF(A:A,A130)&gt;1</f>
        <v>1</v>
      </c>
      <c r="D130" t="s">
        <v>30</v>
      </c>
      <c r="E130" t="b">
        <f>LEN(TRIM(D130))=0</f>
        <v>0</v>
      </c>
      <c r="F130" t="b">
        <f>EXACT(D130,PROPER(D130))</f>
        <v>1</v>
      </c>
      <c r="G130">
        <v>29</v>
      </c>
      <c r="H130" t="b">
        <f>LEN(TRIM(G130))=0</f>
        <v>0</v>
      </c>
      <c r="I130" t="s">
        <v>23</v>
      </c>
      <c r="J130" t="b">
        <f>EXACT(I130,PROPER(I130))</f>
        <v>1</v>
      </c>
      <c r="K130" t="s">
        <v>42</v>
      </c>
      <c r="L130" t="str">
        <f>TRIM(K130)</f>
        <v>IT</v>
      </c>
      <c r="M130" t="b">
        <f>K130&lt;&gt;L130</f>
        <v>0</v>
      </c>
      <c r="N130">
        <v>124822.01</v>
      </c>
      <c r="O130" t="b">
        <f>LEN(TRIM(N130))=0</f>
        <v>0</v>
      </c>
      <c r="P130" t="b">
        <f>AND(N130&gt;0, N130&lt;1000000)</f>
        <v>1</v>
      </c>
      <c r="Q130" t="s">
        <v>153</v>
      </c>
      <c r="R130" s="2" t="b">
        <f>LEN(TRIM(Q130))=0</f>
        <v>0</v>
      </c>
      <c r="S130" s="2" t="str">
        <f>IF(RIGHT(TRIM(Q130),9)="gmail.com","OK","Typo")</f>
        <v>Typo</v>
      </c>
      <c r="T130" s="2" t="str">
        <f>A130&amp;D130&amp;G130&amp;I130&amp;K130&amp;N130&amp;Q130</f>
        <v>AyeshaFemale29QuettaIT124822.01ayesha55@gamil.com</v>
      </c>
      <c r="U130" s="2" t="b">
        <f>COUNTIF(T:T,T130)&gt;1</f>
        <v>0</v>
      </c>
    </row>
    <row r="131" spans="1:21">
      <c r="A131" t="s">
        <v>135</v>
      </c>
      <c r="B131" t="b">
        <f>LEN(TRIM(A131))=0</f>
        <v>0</v>
      </c>
      <c r="C131" t="b">
        <f>COUNTIF(A:A,A131)&gt;1</f>
        <v>1</v>
      </c>
      <c r="D131" t="s">
        <v>30</v>
      </c>
      <c r="E131" t="b">
        <f>LEN(TRIM(D131))=0</f>
        <v>0</v>
      </c>
      <c r="F131" t="b">
        <f>EXACT(D131,PROPER(D131))</f>
        <v>1</v>
      </c>
      <c r="H131" t="b">
        <f>LEN(TRIM(G131))=0</f>
        <v>1</v>
      </c>
      <c r="I131" t="s">
        <v>45</v>
      </c>
      <c r="J131" t="b">
        <f>EXACT(I131,PROPER(I131))</f>
        <v>1</v>
      </c>
      <c r="K131" t="s">
        <v>33</v>
      </c>
      <c r="L131" t="str">
        <f>TRIM(K131)</f>
        <v>IT</v>
      </c>
      <c r="M131" t="b">
        <f>K131&lt;&gt;L131</f>
        <v>1</v>
      </c>
      <c r="N131">
        <v>80258</v>
      </c>
      <c r="O131" t="b">
        <f>LEN(TRIM(N131))=0</f>
        <v>0</v>
      </c>
      <c r="P131" t="b">
        <f>AND(N131&gt;0, N131&lt;1000000)</f>
        <v>1</v>
      </c>
      <c r="Q131" t="s">
        <v>154</v>
      </c>
      <c r="R131" s="2" t="b">
        <f>LEN(TRIM(Q131))=0</f>
        <v>0</v>
      </c>
      <c r="S131" s="2" t="str">
        <f>IF(RIGHT(TRIM(Q131),9)="gmail.com","OK","Typo")</f>
        <v>OK</v>
      </c>
      <c r="T131" s="2" t="str">
        <f>A131&amp;D131&amp;G131&amp;I131&amp;K131&amp;N131&amp;Q131</f>
        <v>AyeshaFemalePeshawar IT 80258ayesha59@gmail.com</v>
      </c>
      <c r="U131" s="2" t="b">
        <f>COUNTIF(T:T,T131)&gt;1</f>
        <v>0</v>
      </c>
    </row>
    <row r="132" spans="1:21">
      <c r="A132" t="s">
        <v>135</v>
      </c>
      <c r="B132" t="b">
        <f>LEN(TRIM(A132))=0</f>
        <v>0</v>
      </c>
      <c r="C132" t="b">
        <f>COUNTIF(A:A,A132)&gt;1</f>
        <v>1</v>
      </c>
      <c r="D132" t="s">
        <v>30</v>
      </c>
      <c r="E132" t="b">
        <f>LEN(TRIM(D132))=0</f>
        <v>0</v>
      </c>
      <c r="F132" t="b">
        <f>EXACT(D132,PROPER(D132))</f>
        <v>1</v>
      </c>
      <c r="G132">
        <v>52</v>
      </c>
      <c r="H132" t="b">
        <f>LEN(TRIM(G132))=0</f>
        <v>0</v>
      </c>
      <c r="I132" t="s">
        <v>32</v>
      </c>
      <c r="J132" t="b">
        <f>EXACT(I132,PROPER(I132))</f>
        <v>1</v>
      </c>
      <c r="K132" t="s">
        <v>42</v>
      </c>
      <c r="L132" t="str">
        <f>TRIM(K132)</f>
        <v>IT</v>
      </c>
      <c r="M132" t="b">
        <f>K132&lt;&gt;L132</f>
        <v>0</v>
      </c>
      <c r="O132" t="b">
        <f>LEN(TRIM(N132))=0</f>
        <v>1</v>
      </c>
      <c r="P132" t="b">
        <f>AND(N132&gt;0, N132&lt;1000000)</f>
        <v>0</v>
      </c>
      <c r="Q132" t="s">
        <v>155</v>
      </c>
      <c r="R132" s="2" t="b">
        <f>LEN(TRIM(Q132))=0</f>
        <v>0</v>
      </c>
      <c r="S132" s="2" t="str">
        <f>IF(RIGHT(TRIM(Q132),9)="gmail.com","OK","Typo")</f>
        <v>OK</v>
      </c>
      <c r="T132" s="2" t="str">
        <f>A132&amp;D132&amp;G132&amp;I132&amp;K132&amp;N132&amp;Q132</f>
        <v>AyeshaFemale52LahoreITayesha60@gmail.com</v>
      </c>
      <c r="U132" s="2" t="b">
        <f>COUNTIF(T:T,T132)&gt;1</f>
        <v>0</v>
      </c>
    </row>
    <row r="133" spans="1:21">
      <c r="A133" t="s">
        <v>135</v>
      </c>
      <c r="B133" t="b">
        <f>LEN(TRIM(A133))=0</f>
        <v>0</v>
      </c>
      <c r="C133" t="b">
        <f>COUNTIF(A:A,A133)&gt;1</f>
        <v>1</v>
      </c>
      <c r="D133" t="s">
        <v>22</v>
      </c>
      <c r="E133" t="b">
        <f>LEN(TRIM(D133))=0</f>
        <v>0</v>
      </c>
      <c r="F133" t="b">
        <f>EXACT(D133,PROPER(D133))</f>
        <v>1</v>
      </c>
      <c r="G133">
        <v>40</v>
      </c>
      <c r="H133" t="b">
        <f>LEN(TRIM(G133))=0</f>
        <v>0</v>
      </c>
      <c r="I133" t="s">
        <v>32</v>
      </c>
      <c r="J133" t="b">
        <f>EXACT(I133,PROPER(I133))</f>
        <v>1</v>
      </c>
      <c r="K133" t="s">
        <v>42</v>
      </c>
      <c r="L133" t="str">
        <f>TRIM(K133)</f>
        <v>IT</v>
      </c>
      <c r="M133" t="b">
        <f>K133&lt;&gt;L133</f>
        <v>0</v>
      </c>
      <c r="N133">
        <v>51037.21</v>
      </c>
      <c r="O133" t="b">
        <f>LEN(TRIM(N133))=0</f>
        <v>0</v>
      </c>
      <c r="P133" t="b">
        <f>AND(N133&gt;0, N133&lt;1000000)</f>
        <v>1</v>
      </c>
      <c r="Q133" t="s">
        <v>156</v>
      </c>
      <c r="R133" s="2" t="b">
        <f>LEN(TRIM(Q133))=0</f>
        <v>0</v>
      </c>
      <c r="S133" s="2" t="str">
        <f>IF(RIGHT(TRIM(Q133),9)="gmail.com","OK","Typo")</f>
        <v>OK</v>
      </c>
      <c r="T133" s="2" t="str">
        <f>A133&amp;D133&amp;G133&amp;I133&amp;K133&amp;N133&amp;Q133</f>
        <v>AyeshaMale40LahoreIT51037.21ayesha61@gmail.com</v>
      </c>
      <c r="U133" s="2" t="b">
        <f>COUNTIF(T:T,T133)&gt;1</f>
        <v>0</v>
      </c>
    </row>
    <row r="134" spans="1:21">
      <c r="A134" t="s">
        <v>135</v>
      </c>
      <c r="B134" t="b">
        <f>LEN(TRIM(A134))=0</f>
        <v>0</v>
      </c>
      <c r="C134" t="b">
        <f>COUNTIF(A:A,A134)&gt;1</f>
        <v>1</v>
      </c>
      <c r="D134" t="s">
        <v>30</v>
      </c>
      <c r="E134" t="b">
        <f>LEN(TRIM(D134))=0</f>
        <v>0</v>
      </c>
      <c r="F134" t="b">
        <f>EXACT(D134,PROPER(D134))</f>
        <v>1</v>
      </c>
      <c r="G134">
        <v>55</v>
      </c>
      <c r="H134" t="b">
        <f>LEN(TRIM(G134))=0</f>
        <v>0</v>
      </c>
      <c r="I134" t="s">
        <v>157</v>
      </c>
      <c r="J134" t="b">
        <f>EXACT(I134,PROPER(I134))</f>
        <v>0</v>
      </c>
      <c r="K134" t="s">
        <v>47</v>
      </c>
      <c r="L134" t="str">
        <f>TRIM(K134)</f>
        <v>Sales</v>
      </c>
      <c r="M134" t="b">
        <f>K134&lt;&gt;L134</f>
        <v>1</v>
      </c>
      <c r="O134" t="b">
        <f>LEN(TRIM(N134))=0</f>
        <v>1</v>
      </c>
      <c r="P134" t="b">
        <f>AND(N134&gt;0, N134&lt;1000000)</f>
        <v>0</v>
      </c>
      <c r="Q134" t="s">
        <v>158</v>
      </c>
      <c r="R134" s="2" t="b">
        <f>LEN(TRIM(Q134))=0</f>
        <v>0</v>
      </c>
      <c r="S134" s="2" t="str">
        <f>IF(RIGHT(TRIM(Q134),9)="gmail.com","OK","Typo")</f>
        <v>OK</v>
      </c>
      <c r="T134" s="2" t="str">
        <f>A134&amp;D134&amp;G134&amp;I134&amp;K134&amp;N134&amp;Q134</f>
        <v>AyeshaFemale55islamabad Sales ayesha62@gmail.com</v>
      </c>
      <c r="U134" s="2" t="b">
        <f>COUNTIF(T:T,T134)&gt;1</f>
        <v>0</v>
      </c>
    </row>
    <row r="135" spans="1:21">
      <c r="A135" t="s">
        <v>135</v>
      </c>
      <c r="B135" t="b">
        <f>LEN(TRIM(A135))=0</f>
        <v>0</v>
      </c>
      <c r="C135" t="b">
        <f>COUNTIF(A:A,A135)&gt;1</f>
        <v>1</v>
      </c>
      <c r="D135" t="s">
        <v>22</v>
      </c>
      <c r="E135" t="b">
        <f>LEN(TRIM(D135))=0</f>
        <v>0</v>
      </c>
      <c r="F135" t="b">
        <f>EXACT(D135,PROPER(D135))</f>
        <v>1</v>
      </c>
      <c r="H135" t="b">
        <f>LEN(TRIM(G135))=0</f>
        <v>1</v>
      </c>
      <c r="I135" t="s">
        <v>37</v>
      </c>
      <c r="J135" t="b">
        <f>EXACT(I135,PROPER(I135))</f>
        <v>1</v>
      </c>
      <c r="K135" t="s">
        <v>35</v>
      </c>
      <c r="L135" t="str">
        <f>TRIM(K135)</f>
        <v>Marketing</v>
      </c>
      <c r="M135" t="b">
        <f>K135&lt;&gt;L135</f>
        <v>0</v>
      </c>
      <c r="N135">
        <v>122939.92</v>
      </c>
      <c r="O135" t="b">
        <f>LEN(TRIM(N135))=0</f>
        <v>0</v>
      </c>
      <c r="P135" t="b">
        <f>AND(N135&gt;0, N135&lt;1000000)</f>
        <v>1</v>
      </c>
      <c r="Q135" t="s">
        <v>158</v>
      </c>
      <c r="R135" s="2" t="b">
        <f>LEN(TRIM(Q135))=0</f>
        <v>0</v>
      </c>
      <c r="S135" s="2" t="str">
        <f>IF(RIGHT(TRIM(Q135),9)="gmail.com","OK","Typo")</f>
        <v>OK</v>
      </c>
      <c r="T135" s="2" t="str">
        <f>A135&amp;D135&amp;G135&amp;I135&amp;K135&amp;N135&amp;Q135</f>
        <v>AyeshaMaleIslamabadMarketing122939.92ayesha62@gmail.com</v>
      </c>
      <c r="U135" s="2" t="b">
        <f>COUNTIF(T:T,T135)&gt;1</f>
        <v>0</v>
      </c>
    </row>
    <row r="136" spans="1:21">
      <c r="A136" t="s">
        <v>135</v>
      </c>
      <c r="B136" t="b">
        <f>LEN(TRIM(A136))=0</f>
        <v>0</v>
      </c>
      <c r="C136" t="b">
        <f>COUNTIF(A:A,A136)&gt;1</f>
        <v>1</v>
      </c>
      <c r="D136" t="s">
        <v>22</v>
      </c>
      <c r="E136" t="b">
        <f>LEN(TRIM(D136))=0</f>
        <v>0</v>
      </c>
      <c r="F136" t="b">
        <f>EXACT(D136,PROPER(D136))</f>
        <v>1</v>
      </c>
      <c r="G136">
        <v>44</v>
      </c>
      <c r="H136" t="b">
        <f>LEN(TRIM(G136))=0</f>
        <v>0</v>
      </c>
      <c r="I136" t="s">
        <v>23</v>
      </c>
      <c r="J136" t="b">
        <f>EXACT(I136,PROPER(I136))</f>
        <v>1</v>
      </c>
      <c r="K136" t="s">
        <v>42</v>
      </c>
      <c r="L136" t="str">
        <f>TRIM(K136)</f>
        <v>IT</v>
      </c>
      <c r="M136" t="b">
        <f>K136&lt;&gt;L136</f>
        <v>0</v>
      </c>
      <c r="N136">
        <v>133190.88</v>
      </c>
      <c r="O136" t="b">
        <f>LEN(TRIM(N136))=0</f>
        <v>0</v>
      </c>
      <c r="P136" t="b">
        <f>AND(N136&gt;0, N136&lt;1000000)</f>
        <v>1</v>
      </c>
      <c r="Q136" t="s">
        <v>159</v>
      </c>
      <c r="R136" s="2" t="b">
        <f>LEN(TRIM(Q136))=0</f>
        <v>0</v>
      </c>
      <c r="S136" s="2" t="str">
        <f>IF(RIGHT(TRIM(Q136),9)="gmail.com","OK","Typo")</f>
        <v>OK</v>
      </c>
      <c r="T136" s="2" t="str">
        <f>A136&amp;D136&amp;G136&amp;I136&amp;K136&amp;N136&amp;Q136</f>
        <v>AyeshaMale44QuettaIT133190.88ayesha68@gmail.com</v>
      </c>
      <c r="U136" s="2" t="b">
        <f>COUNTIF(T:T,T136)&gt;1</f>
        <v>0</v>
      </c>
    </row>
    <row r="137" spans="1:21">
      <c r="A137" t="s">
        <v>135</v>
      </c>
      <c r="B137" t="b">
        <f>LEN(TRIM(A137))=0</f>
        <v>0</v>
      </c>
      <c r="C137" t="b">
        <f>COUNTIF(A:A,A137)&gt;1</f>
        <v>1</v>
      </c>
      <c r="D137" t="s">
        <v>22</v>
      </c>
      <c r="E137" t="b">
        <f>LEN(TRIM(D137))=0</f>
        <v>0</v>
      </c>
      <c r="F137" t="b">
        <f>EXACT(D137,PROPER(D137))</f>
        <v>1</v>
      </c>
      <c r="G137">
        <v>21</v>
      </c>
      <c r="H137" t="b">
        <f>LEN(TRIM(G137))=0</f>
        <v>0</v>
      </c>
      <c r="I137" t="s">
        <v>101</v>
      </c>
      <c r="J137" t="b">
        <f>EXACT(I137,PROPER(I137))</f>
        <v>0</v>
      </c>
      <c r="K137" t="s">
        <v>24</v>
      </c>
      <c r="L137" t="str">
        <f>TRIM(K137)</f>
        <v>HR</v>
      </c>
      <c r="M137" t="b">
        <f>K137&lt;&gt;L137</f>
        <v>0</v>
      </c>
      <c r="N137">
        <v>99667.07</v>
      </c>
      <c r="O137" t="b">
        <f>LEN(TRIM(N137))=0</f>
        <v>0</v>
      </c>
      <c r="P137" t="b">
        <f>AND(N137&gt;0, N137&lt;1000000)</f>
        <v>1</v>
      </c>
      <c r="Q137" t="s">
        <v>159</v>
      </c>
      <c r="R137" s="2" t="b">
        <f>LEN(TRIM(Q137))=0</f>
        <v>0</v>
      </c>
      <c r="S137" s="2" t="str">
        <f>IF(RIGHT(TRIM(Q137),9)="gmail.com","OK","Typo")</f>
        <v>OK</v>
      </c>
      <c r="T137" s="2" t="str">
        <f>A137&amp;D137&amp;G137&amp;I137&amp;K137&amp;N137&amp;Q137</f>
        <v>AyeshaMale21peshawarHR99667.07ayesha68@gmail.com</v>
      </c>
      <c r="U137" s="2" t="b">
        <f>COUNTIF(T:T,T137)&gt;1</f>
        <v>0</v>
      </c>
    </row>
    <row r="138" spans="1:21">
      <c r="A138" t="s">
        <v>135</v>
      </c>
      <c r="B138" t="b">
        <f>LEN(TRIM(A138))=0</f>
        <v>0</v>
      </c>
      <c r="C138" t="b">
        <f>COUNTIF(A:A,A138)&gt;1</f>
        <v>1</v>
      </c>
      <c r="D138" t="s">
        <v>22</v>
      </c>
      <c r="E138" t="b">
        <f>LEN(TRIM(D138))=0</f>
        <v>0</v>
      </c>
      <c r="F138" t="b">
        <f>EXACT(D138,PROPER(D138))</f>
        <v>1</v>
      </c>
      <c r="H138" t="b">
        <f>LEN(TRIM(G138))=0</f>
        <v>1</v>
      </c>
      <c r="I138" t="s">
        <v>101</v>
      </c>
      <c r="J138" t="b">
        <f>EXACT(I138,PROPER(I138))</f>
        <v>0</v>
      </c>
      <c r="K138" t="s">
        <v>24</v>
      </c>
      <c r="L138" t="str">
        <f>TRIM(K138)</f>
        <v>HR</v>
      </c>
      <c r="M138" t="b">
        <f>K138&lt;&gt;L138</f>
        <v>0</v>
      </c>
      <c r="N138">
        <v>34784.21</v>
      </c>
      <c r="O138" t="b">
        <f>LEN(TRIM(N138))=0</f>
        <v>0</v>
      </c>
      <c r="P138" t="b">
        <f>AND(N138&gt;0, N138&lt;1000000)</f>
        <v>1</v>
      </c>
      <c r="Q138" t="s">
        <v>160</v>
      </c>
      <c r="R138" s="2" t="b">
        <f>LEN(TRIM(Q138))=0</f>
        <v>0</v>
      </c>
      <c r="S138" s="2" t="str">
        <f>IF(RIGHT(TRIM(Q138),9)="gmail.com","OK","Typo")</f>
        <v>OK</v>
      </c>
      <c r="T138" s="2" t="str">
        <f>A138&amp;D138&amp;G138&amp;I138&amp;K138&amp;N138&amp;Q138</f>
        <v>AyeshaMalepeshawarHR34784.21ayesha69@gmail.com</v>
      </c>
      <c r="U138" s="2" t="b">
        <f>COUNTIF(T:T,T138)&gt;1</f>
        <v>0</v>
      </c>
    </row>
    <row r="139" spans="1:21">
      <c r="A139" t="s">
        <v>135</v>
      </c>
      <c r="B139" t="b">
        <f>LEN(TRIM(A139))=0</f>
        <v>0</v>
      </c>
      <c r="C139" t="b">
        <f>COUNTIF(A:A,A139)&gt;1</f>
        <v>1</v>
      </c>
      <c r="D139" t="s">
        <v>30</v>
      </c>
      <c r="E139" t="b">
        <f>LEN(TRIM(D139))=0</f>
        <v>0</v>
      </c>
      <c r="F139" t="b">
        <f>EXACT(D139,PROPER(D139))</f>
        <v>1</v>
      </c>
      <c r="H139" t="b">
        <f>LEN(TRIM(G139))=0</f>
        <v>1</v>
      </c>
      <c r="I139" t="s">
        <v>32</v>
      </c>
      <c r="J139" t="b">
        <f>EXACT(I139,PROPER(I139))</f>
        <v>1</v>
      </c>
      <c r="K139" t="s">
        <v>29</v>
      </c>
      <c r="L139" t="str">
        <f>TRIM(K139)</f>
        <v>Finance</v>
      </c>
      <c r="M139" t="b">
        <f>K139&lt;&gt;L139</f>
        <v>0</v>
      </c>
      <c r="O139" t="b">
        <f>LEN(TRIM(N139))=0</f>
        <v>1</v>
      </c>
      <c r="P139" t="b">
        <f>AND(N139&gt;0, N139&lt;1000000)</f>
        <v>0</v>
      </c>
      <c r="Q139" t="s">
        <v>161</v>
      </c>
      <c r="R139" s="2" t="b">
        <f>LEN(TRIM(Q139))=0</f>
        <v>0</v>
      </c>
      <c r="S139" s="2" t="str">
        <f>IF(RIGHT(TRIM(Q139),9)="gmail.com","OK","Typo")</f>
        <v>OK</v>
      </c>
      <c r="T139" s="2" t="str">
        <f>A139&amp;D139&amp;G139&amp;I139&amp;K139&amp;N139&amp;Q139</f>
        <v>AyeshaFemaleLahoreFinanceayesha7@gmail.com</v>
      </c>
      <c r="U139" s="2" t="b">
        <f>COUNTIF(T:T,T139)&gt;1</f>
        <v>0</v>
      </c>
    </row>
    <row r="140" spans="1:21">
      <c r="A140" t="s">
        <v>135</v>
      </c>
      <c r="B140" t="b">
        <f>LEN(TRIM(A140))=0</f>
        <v>0</v>
      </c>
      <c r="C140" t="b">
        <f>COUNTIF(A:A,A140)&gt;1</f>
        <v>1</v>
      </c>
      <c r="D140" t="s">
        <v>30</v>
      </c>
      <c r="E140" t="b">
        <f>LEN(TRIM(D140))=0</f>
        <v>0</v>
      </c>
      <c r="F140" t="b">
        <f>EXACT(D140,PROPER(D140))</f>
        <v>1</v>
      </c>
      <c r="H140" t="b">
        <f>LEN(TRIM(G140))=0</f>
        <v>1</v>
      </c>
      <c r="I140" t="s">
        <v>45</v>
      </c>
      <c r="J140" t="b">
        <f>EXACT(I140,PROPER(I140))</f>
        <v>1</v>
      </c>
      <c r="K140" t="s">
        <v>29</v>
      </c>
      <c r="L140" t="str">
        <f>TRIM(K140)</f>
        <v>Finance</v>
      </c>
      <c r="M140" t="b">
        <f>K140&lt;&gt;L140</f>
        <v>0</v>
      </c>
      <c r="N140">
        <v>111961.26</v>
      </c>
      <c r="O140" t="b">
        <f>LEN(TRIM(N140))=0</f>
        <v>0</v>
      </c>
      <c r="P140" t="b">
        <f>AND(N140&gt;0, N140&lt;1000000)</f>
        <v>1</v>
      </c>
      <c r="Q140" t="s">
        <v>162</v>
      </c>
      <c r="R140" s="2" t="b">
        <f>LEN(TRIM(Q140))=0</f>
        <v>0</v>
      </c>
      <c r="S140" s="2" t="str">
        <f>IF(RIGHT(TRIM(Q140),9)="gmail.com","OK","Typo")</f>
        <v>OK</v>
      </c>
      <c r="T140" s="2" t="str">
        <f>A140&amp;D140&amp;G140&amp;I140&amp;K140&amp;N140&amp;Q140</f>
        <v>AyeshaFemalePeshawarFinance111961.26ayesha71@gmail.com</v>
      </c>
      <c r="U140" s="2" t="b">
        <f>COUNTIF(T:T,T140)&gt;1</f>
        <v>0</v>
      </c>
    </row>
    <row r="141" spans="1:21">
      <c r="A141" t="s">
        <v>135</v>
      </c>
      <c r="B141" t="b">
        <f>LEN(TRIM(A141))=0</f>
        <v>0</v>
      </c>
      <c r="C141" t="b">
        <f>COUNTIF(A:A,A141)&gt;1</f>
        <v>1</v>
      </c>
      <c r="D141" t="s">
        <v>22</v>
      </c>
      <c r="E141" t="b">
        <f>LEN(TRIM(D141))=0</f>
        <v>0</v>
      </c>
      <c r="F141" t="b">
        <f>EXACT(D141,PROPER(D141))</f>
        <v>1</v>
      </c>
      <c r="H141" t="b">
        <f>LEN(TRIM(G141))=0</f>
        <v>1</v>
      </c>
      <c r="I141" t="s">
        <v>32</v>
      </c>
      <c r="J141" t="b">
        <f>EXACT(I141,PROPER(I141))</f>
        <v>1</v>
      </c>
      <c r="K141" t="s">
        <v>42</v>
      </c>
      <c r="L141" t="str">
        <f>TRIM(K141)</f>
        <v>IT</v>
      </c>
      <c r="M141" t="b">
        <f>K141&lt;&gt;L141</f>
        <v>0</v>
      </c>
      <c r="O141" t="b">
        <f>LEN(TRIM(N141))=0</f>
        <v>1</v>
      </c>
      <c r="P141" t="b">
        <f>AND(N141&gt;0, N141&lt;1000000)</f>
        <v>0</v>
      </c>
      <c r="Q141" t="s">
        <v>163</v>
      </c>
      <c r="R141" s="2" t="b">
        <f>LEN(TRIM(Q141))=0</f>
        <v>0</v>
      </c>
      <c r="S141" s="2" t="str">
        <f>IF(RIGHT(TRIM(Q141),9)="gmail.com","OK","Typo")</f>
        <v>OK</v>
      </c>
      <c r="T141" s="2" t="str">
        <f>A141&amp;D141&amp;G141&amp;I141&amp;K141&amp;N141&amp;Q141</f>
        <v>AyeshaMaleLahoreITayesha72@gmail.com</v>
      </c>
      <c r="U141" s="2" t="b">
        <f>COUNTIF(T:T,T141)&gt;1</f>
        <v>0</v>
      </c>
    </row>
    <row r="142" spans="1:21">
      <c r="A142" t="s">
        <v>135</v>
      </c>
      <c r="B142" t="b">
        <f>LEN(TRIM(A142))=0</f>
        <v>0</v>
      </c>
      <c r="C142" t="b">
        <f>COUNTIF(A:A,A142)&gt;1</f>
        <v>1</v>
      </c>
      <c r="D142" t="s">
        <v>22</v>
      </c>
      <c r="E142" t="b">
        <f>LEN(TRIM(D142))=0</f>
        <v>0</v>
      </c>
      <c r="F142" t="b">
        <f>EXACT(D142,PROPER(D142))</f>
        <v>1</v>
      </c>
      <c r="G142">
        <v>37</v>
      </c>
      <c r="H142" t="b">
        <f>LEN(TRIM(G142))=0</f>
        <v>0</v>
      </c>
      <c r="I142" t="s">
        <v>23</v>
      </c>
      <c r="J142" t="b">
        <f>EXACT(I142,PROPER(I142))</f>
        <v>1</v>
      </c>
      <c r="K142" t="s">
        <v>42</v>
      </c>
      <c r="L142" t="str">
        <f>TRIM(K142)</f>
        <v>IT</v>
      </c>
      <c r="M142" t="b">
        <f>K142&lt;&gt;L142</f>
        <v>0</v>
      </c>
      <c r="N142">
        <v>96065.12</v>
      </c>
      <c r="O142" t="b">
        <f>LEN(TRIM(N142))=0</f>
        <v>0</v>
      </c>
      <c r="P142" t="b">
        <f>AND(N142&gt;0, N142&lt;1000000)</f>
        <v>1</v>
      </c>
      <c r="Q142" t="s">
        <v>164</v>
      </c>
      <c r="R142" s="2" t="b">
        <f>LEN(TRIM(Q142))=0</f>
        <v>0</v>
      </c>
      <c r="S142" s="2" t="str">
        <f>IF(RIGHT(TRIM(Q142),9)="gmail.com","OK","Typo")</f>
        <v>OK</v>
      </c>
      <c r="T142" s="2" t="str">
        <f>A142&amp;D142&amp;G142&amp;I142&amp;K142&amp;N142&amp;Q142</f>
        <v>AyeshaMale37QuettaIT96065.12ayesha73@gmail.com</v>
      </c>
      <c r="U142" s="2" t="b">
        <f>COUNTIF(T:T,T142)&gt;1</f>
        <v>0</v>
      </c>
    </row>
    <row r="143" spans="1:21">
      <c r="A143" t="s">
        <v>135</v>
      </c>
      <c r="B143" t="b">
        <f>LEN(TRIM(A143))=0</f>
        <v>0</v>
      </c>
      <c r="C143" t="b">
        <f>COUNTIF(A:A,A143)&gt;1</f>
        <v>1</v>
      </c>
      <c r="D143" t="s">
        <v>30</v>
      </c>
      <c r="E143" t="b">
        <f>LEN(TRIM(D143))=0</f>
        <v>0</v>
      </c>
      <c r="F143" t="b">
        <f>EXACT(D143,PROPER(D143))</f>
        <v>1</v>
      </c>
      <c r="G143">
        <v>37</v>
      </c>
      <c r="H143" t="b">
        <f>LEN(TRIM(G143))=0</f>
        <v>0</v>
      </c>
      <c r="I143" t="s">
        <v>23</v>
      </c>
      <c r="J143" t="b">
        <f>EXACT(I143,PROPER(I143))</f>
        <v>1</v>
      </c>
      <c r="K143" t="s">
        <v>24</v>
      </c>
      <c r="L143" t="str">
        <f>TRIM(K143)</f>
        <v>HR</v>
      </c>
      <c r="M143" t="b">
        <f>K143&lt;&gt;L143</f>
        <v>0</v>
      </c>
      <c r="O143" t="b">
        <f>LEN(TRIM(N143))=0</f>
        <v>1</v>
      </c>
      <c r="P143" t="b">
        <f>AND(N143&gt;0, N143&lt;1000000)</f>
        <v>0</v>
      </c>
      <c r="Q143" t="s">
        <v>164</v>
      </c>
      <c r="R143" s="2" t="b">
        <f>LEN(TRIM(Q143))=0</f>
        <v>0</v>
      </c>
      <c r="S143" s="2" t="str">
        <f>IF(RIGHT(TRIM(Q143),9)="gmail.com","OK","Typo")</f>
        <v>OK</v>
      </c>
      <c r="T143" s="2" t="str">
        <f>A143&amp;D143&amp;G143&amp;I143&amp;K143&amp;N143&amp;Q143</f>
        <v>AyeshaFemale37QuettaHRayesha73@gmail.com</v>
      </c>
      <c r="U143" s="2" t="b">
        <f>COUNTIF(T:T,T143)&gt;1</f>
        <v>0</v>
      </c>
    </row>
    <row r="144" spans="1:21">
      <c r="A144" t="s">
        <v>135</v>
      </c>
      <c r="B144" t="b">
        <f>LEN(TRIM(A144))=0</f>
        <v>0</v>
      </c>
      <c r="C144" t="b">
        <f>COUNTIF(A:A,A144)&gt;1</f>
        <v>1</v>
      </c>
      <c r="D144" t="s">
        <v>30</v>
      </c>
      <c r="E144" t="b">
        <f>LEN(TRIM(D144))=0</f>
        <v>0</v>
      </c>
      <c r="F144" t="b">
        <f>EXACT(D144,PROPER(D144))</f>
        <v>1</v>
      </c>
      <c r="H144" t="b">
        <f>LEN(TRIM(G144))=0</f>
        <v>1</v>
      </c>
      <c r="I144" t="s">
        <v>32</v>
      </c>
      <c r="J144" t="b">
        <f>EXACT(I144,PROPER(I144))</f>
        <v>1</v>
      </c>
      <c r="K144" t="s">
        <v>29</v>
      </c>
      <c r="L144" t="str">
        <f>TRIM(K144)</f>
        <v>Finance</v>
      </c>
      <c r="M144" t="b">
        <f>K144&lt;&gt;L144</f>
        <v>0</v>
      </c>
      <c r="O144" t="b">
        <f>LEN(TRIM(N144))=0</f>
        <v>1</v>
      </c>
      <c r="P144" t="b">
        <f>AND(N144&gt;0, N144&lt;1000000)</f>
        <v>0</v>
      </c>
      <c r="Q144" t="s">
        <v>165</v>
      </c>
      <c r="R144" s="2" t="b">
        <f>LEN(TRIM(Q144))=0</f>
        <v>0</v>
      </c>
      <c r="S144" s="2" t="str">
        <f>IF(RIGHT(TRIM(Q144),9)="gmail.com","OK","Typo")</f>
        <v>OK</v>
      </c>
      <c r="T144" s="2" t="str">
        <f>A144&amp;D144&amp;G144&amp;I144&amp;K144&amp;N144&amp;Q144</f>
        <v>AyeshaFemaleLahoreFinanceayesha77@gmail.com</v>
      </c>
      <c r="U144" s="2" t="b">
        <f>COUNTIF(T:T,T144)&gt;1</f>
        <v>0</v>
      </c>
    </row>
    <row r="145" spans="1:21">
      <c r="A145" t="s">
        <v>135</v>
      </c>
      <c r="B145" t="b">
        <f>LEN(TRIM(A145))=0</f>
        <v>0</v>
      </c>
      <c r="C145" t="b">
        <f>COUNTIF(A:A,A145)&gt;1</f>
        <v>1</v>
      </c>
      <c r="D145" t="s">
        <v>30</v>
      </c>
      <c r="E145" t="b">
        <f>LEN(TRIM(D145))=0</f>
        <v>0</v>
      </c>
      <c r="F145" t="b">
        <f>EXACT(D145,PROPER(D145))</f>
        <v>1</v>
      </c>
      <c r="G145">
        <v>34</v>
      </c>
      <c r="H145" t="b">
        <f>LEN(TRIM(G145))=0</f>
        <v>0</v>
      </c>
      <c r="I145" t="s">
        <v>37</v>
      </c>
      <c r="J145" t="b">
        <f>EXACT(I145,PROPER(I145))</f>
        <v>1</v>
      </c>
      <c r="K145" t="s">
        <v>42</v>
      </c>
      <c r="L145" t="str">
        <f>TRIM(K145)</f>
        <v>IT</v>
      </c>
      <c r="M145" t="b">
        <f>K145&lt;&gt;L145</f>
        <v>0</v>
      </c>
      <c r="N145">
        <v>29894.39</v>
      </c>
      <c r="O145" t="b">
        <f>LEN(TRIM(N145))=0</f>
        <v>0</v>
      </c>
      <c r="P145" t="b">
        <f>AND(N145&gt;0, N145&lt;1000000)</f>
        <v>1</v>
      </c>
      <c r="Q145" t="s">
        <v>166</v>
      </c>
      <c r="R145" s="2" t="b">
        <f>LEN(TRIM(Q145))=0</f>
        <v>0</v>
      </c>
      <c r="S145" s="2" t="str">
        <f>IF(RIGHT(TRIM(Q145),9)="gmail.com","OK","Typo")</f>
        <v>Typo</v>
      </c>
      <c r="T145" s="2" t="str">
        <f>A145&amp;D145&amp;G145&amp;I145&amp;K145&amp;N145&amp;Q145</f>
        <v>AyeshaFemale34IslamabadIT29894.39ayesha78@gamil.com</v>
      </c>
      <c r="U145" s="2" t="b">
        <f>COUNTIF(T:T,T145)&gt;1</f>
        <v>0</v>
      </c>
    </row>
    <row r="146" spans="1:21">
      <c r="A146" t="s">
        <v>135</v>
      </c>
      <c r="B146" t="b">
        <f>LEN(TRIM(A146))=0</f>
        <v>0</v>
      </c>
      <c r="C146" t="b">
        <f>COUNTIF(A:A,A146)&gt;1</f>
        <v>1</v>
      </c>
      <c r="D146" t="s">
        <v>22</v>
      </c>
      <c r="E146" t="b">
        <f>LEN(TRIM(D146))=0</f>
        <v>0</v>
      </c>
      <c r="F146" t="b">
        <f>EXACT(D146,PROPER(D146))</f>
        <v>1</v>
      </c>
      <c r="G146">
        <v>55</v>
      </c>
      <c r="H146" t="b">
        <f>LEN(TRIM(G146))=0</f>
        <v>0</v>
      </c>
      <c r="I146" t="s">
        <v>45</v>
      </c>
      <c r="J146" t="b">
        <f>EXACT(I146,PROPER(I146))</f>
        <v>1</v>
      </c>
      <c r="K146" t="s">
        <v>24</v>
      </c>
      <c r="L146" t="str">
        <f>TRIM(K146)</f>
        <v>HR</v>
      </c>
      <c r="M146" t="b">
        <f>K146&lt;&gt;L146</f>
        <v>0</v>
      </c>
      <c r="O146" t="b">
        <f>LEN(TRIM(N146))=0</f>
        <v>1</v>
      </c>
      <c r="P146" t="b">
        <f>AND(N146&gt;0, N146&lt;1000000)</f>
        <v>0</v>
      </c>
      <c r="Q146" t="s">
        <v>167</v>
      </c>
      <c r="R146" s="2" t="b">
        <f>LEN(TRIM(Q146))=0</f>
        <v>0</v>
      </c>
      <c r="S146" s="2" t="str">
        <f>IF(RIGHT(TRIM(Q146),9)="gmail.com","OK","Typo")</f>
        <v>OK</v>
      </c>
      <c r="T146" s="2" t="str">
        <f>A146&amp;D146&amp;G146&amp;I146&amp;K146&amp;N146&amp;Q146</f>
        <v>AyeshaMale55PeshawarHRayesha78@gmail.com</v>
      </c>
      <c r="U146" s="2" t="b">
        <f>COUNTIF(T:T,T146)&gt;1</f>
        <v>0</v>
      </c>
    </row>
    <row r="147" spans="1:21">
      <c r="A147" t="s">
        <v>135</v>
      </c>
      <c r="B147" t="b">
        <f>LEN(TRIM(A147))=0</f>
        <v>0</v>
      </c>
      <c r="C147" t="b">
        <f>COUNTIF(A:A,A147)&gt;1</f>
        <v>1</v>
      </c>
      <c r="D147" t="s">
        <v>30</v>
      </c>
      <c r="E147" t="b">
        <f>LEN(TRIM(D147))=0</f>
        <v>0</v>
      </c>
      <c r="F147" t="b">
        <f>EXACT(D147,PROPER(D147))</f>
        <v>1</v>
      </c>
      <c r="H147" t="b">
        <f>LEN(TRIM(G147))=0</f>
        <v>1</v>
      </c>
      <c r="I147" t="s">
        <v>45</v>
      </c>
      <c r="J147" t="b">
        <f>EXACT(I147,PROPER(I147))</f>
        <v>1</v>
      </c>
      <c r="K147" t="s">
        <v>42</v>
      </c>
      <c r="L147" t="str">
        <f>TRIM(K147)</f>
        <v>IT</v>
      </c>
      <c r="M147" t="b">
        <f>K147&lt;&gt;L147</f>
        <v>0</v>
      </c>
      <c r="N147">
        <v>55276.84</v>
      </c>
      <c r="O147" t="b">
        <f>LEN(TRIM(N147))=0</f>
        <v>0</v>
      </c>
      <c r="P147" t="b">
        <f>AND(N147&gt;0, N147&lt;1000000)</f>
        <v>1</v>
      </c>
      <c r="Q147" t="s">
        <v>168</v>
      </c>
      <c r="R147" s="2" t="b">
        <f>LEN(TRIM(Q147))=0</f>
        <v>0</v>
      </c>
      <c r="S147" s="2" t="str">
        <f>IF(RIGHT(TRIM(Q147),9)="gmail.com","OK","Typo")</f>
        <v>OK</v>
      </c>
      <c r="T147" s="2" t="str">
        <f>A147&amp;D147&amp;G147&amp;I147&amp;K147&amp;N147&amp;Q147</f>
        <v>AyeshaFemalePeshawarIT55276.84ayesha79@gmail.com</v>
      </c>
      <c r="U147" s="2" t="b">
        <f>COUNTIF(T:T,T147)&gt;1</f>
        <v>0</v>
      </c>
    </row>
    <row r="148" spans="1:21">
      <c r="A148" t="s">
        <v>135</v>
      </c>
      <c r="B148" t="b">
        <f>LEN(TRIM(A148))=0</f>
        <v>0</v>
      </c>
      <c r="C148" t="b">
        <f>COUNTIF(A:A,A148)&gt;1</f>
        <v>1</v>
      </c>
      <c r="D148" t="s">
        <v>22</v>
      </c>
      <c r="E148" t="b">
        <f>LEN(TRIM(D148))=0</f>
        <v>0</v>
      </c>
      <c r="F148" t="b">
        <f>EXACT(D148,PROPER(D148))</f>
        <v>1</v>
      </c>
      <c r="G148">
        <v>53</v>
      </c>
      <c r="H148" t="b">
        <f>LEN(TRIM(G148))=0</f>
        <v>0</v>
      </c>
      <c r="I148" t="s">
        <v>45</v>
      </c>
      <c r="J148" t="b">
        <f>EXACT(I148,PROPER(I148))</f>
        <v>1</v>
      </c>
      <c r="K148" t="s">
        <v>24</v>
      </c>
      <c r="L148" t="str">
        <f>TRIM(K148)</f>
        <v>HR</v>
      </c>
      <c r="M148" t="b">
        <f>K148&lt;&gt;L148</f>
        <v>0</v>
      </c>
      <c r="O148" t="b">
        <f>LEN(TRIM(N148))=0</f>
        <v>1</v>
      </c>
      <c r="P148" t="b">
        <f>AND(N148&gt;0, N148&lt;1000000)</f>
        <v>0</v>
      </c>
      <c r="Q148" t="s">
        <v>169</v>
      </c>
      <c r="R148" s="2" t="b">
        <f>LEN(TRIM(Q148))=0</f>
        <v>0</v>
      </c>
      <c r="S148" s="2" t="str">
        <f>IF(RIGHT(TRIM(Q148),9)="gmail.com","OK","Typo")</f>
        <v>OK</v>
      </c>
      <c r="T148" s="2" t="str">
        <f>A148&amp;D148&amp;G148&amp;I148&amp;K148&amp;N148&amp;Q148</f>
        <v>AyeshaMale53PeshawarHRayesha84@gmail.com</v>
      </c>
      <c r="U148" s="2" t="b">
        <f>COUNTIF(T:T,T148)&gt;1</f>
        <v>0</v>
      </c>
    </row>
    <row r="149" spans="1:21">
      <c r="A149" t="s">
        <v>135</v>
      </c>
      <c r="B149" t="b">
        <f>LEN(TRIM(A149))=0</f>
        <v>0</v>
      </c>
      <c r="C149" t="b">
        <f>COUNTIF(A:A,A149)&gt;1</f>
        <v>1</v>
      </c>
      <c r="D149" t="s">
        <v>22</v>
      </c>
      <c r="E149" t="b">
        <f>LEN(TRIM(D149))=0</f>
        <v>0</v>
      </c>
      <c r="F149" t="b">
        <f>EXACT(D149,PROPER(D149))</f>
        <v>1</v>
      </c>
      <c r="G149">
        <v>48</v>
      </c>
      <c r="H149" t="b">
        <f>LEN(TRIM(G149))=0</f>
        <v>0</v>
      </c>
      <c r="I149" t="s">
        <v>28</v>
      </c>
      <c r="J149" t="b">
        <f>EXACT(I149,PROPER(I149))</f>
        <v>1</v>
      </c>
      <c r="K149" t="s">
        <v>26</v>
      </c>
      <c r="L149" t="str">
        <f>TRIM(K149)</f>
        <v>HR</v>
      </c>
      <c r="M149" t="b">
        <f>K149&lt;&gt;L149</f>
        <v>1</v>
      </c>
      <c r="N149">
        <v>112520.1</v>
      </c>
      <c r="O149" t="b">
        <f>LEN(TRIM(N149))=0</f>
        <v>0</v>
      </c>
      <c r="P149" t="b">
        <f>AND(N149&gt;0, N149&lt;1000000)</f>
        <v>1</v>
      </c>
      <c r="Q149" t="s">
        <v>170</v>
      </c>
      <c r="R149" s="2" t="b">
        <f>LEN(TRIM(Q149))=0</f>
        <v>0</v>
      </c>
      <c r="S149" s="2" t="str">
        <f>IF(RIGHT(TRIM(Q149),9)="gmail.com","OK","Typo")</f>
        <v>OK</v>
      </c>
      <c r="T149" s="2" t="str">
        <f>A149&amp;D149&amp;G149&amp;I149&amp;K149&amp;N149&amp;Q149</f>
        <v>AyeshaMale48Karachi HR 112520.1ayesha88@gmail.com</v>
      </c>
      <c r="U149" s="2" t="b">
        <f>COUNTIF(T:T,T149)&gt;1</f>
        <v>0</v>
      </c>
    </row>
    <row r="150" spans="1:21">
      <c r="A150" t="s">
        <v>135</v>
      </c>
      <c r="B150" t="b">
        <f>LEN(TRIM(A150))=0</f>
        <v>0</v>
      </c>
      <c r="C150" t="b">
        <f>COUNTIF(A:A,A150)&gt;1</f>
        <v>1</v>
      </c>
      <c r="D150" t="s">
        <v>30</v>
      </c>
      <c r="E150" t="b">
        <f>LEN(TRIM(D150))=0</f>
        <v>0</v>
      </c>
      <c r="F150" t="b">
        <f>EXACT(D150,PROPER(D150))</f>
        <v>1</v>
      </c>
      <c r="G150">
        <v>56</v>
      </c>
      <c r="H150" t="b">
        <f>LEN(TRIM(G150))=0</f>
        <v>0</v>
      </c>
      <c r="I150" t="s">
        <v>28</v>
      </c>
      <c r="J150" t="b">
        <f>EXACT(I150,PROPER(I150))</f>
        <v>1</v>
      </c>
      <c r="K150" t="s">
        <v>42</v>
      </c>
      <c r="L150" t="str">
        <f>TRIM(K150)</f>
        <v>IT</v>
      </c>
      <c r="M150" t="b">
        <f>K150&lt;&gt;L150</f>
        <v>0</v>
      </c>
      <c r="N150">
        <v>53253.65</v>
      </c>
      <c r="O150" t="b">
        <f>LEN(TRIM(N150))=0</f>
        <v>0</v>
      </c>
      <c r="P150" t="b">
        <f>AND(N150&gt;0, N150&lt;1000000)</f>
        <v>1</v>
      </c>
      <c r="Q150" t="s">
        <v>170</v>
      </c>
      <c r="R150" s="2" t="b">
        <f>LEN(TRIM(Q150))=0</f>
        <v>0</v>
      </c>
      <c r="S150" s="2" t="str">
        <f>IF(RIGHT(TRIM(Q150),9)="gmail.com","OK","Typo")</f>
        <v>OK</v>
      </c>
      <c r="T150" s="2" t="str">
        <f>A150&amp;D150&amp;G150&amp;I150&amp;K150&amp;N150&amp;Q150</f>
        <v>AyeshaFemale56KarachiIT53253.65ayesha88@gmail.com</v>
      </c>
      <c r="U150" s="2" t="b">
        <f>COUNTIF(T:T,T150)&gt;1</f>
        <v>0</v>
      </c>
    </row>
    <row r="151" spans="1:21">
      <c r="A151" t="s">
        <v>135</v>
      </c>
      <c r="B151" t="b">
        <f>LEN(TRIM(A151))=0</f>
        <v>0</v>
      </c>
      <c r="C151" t="b">
        <f>COUNTIF(A:A,A151)&gt;1</f>
        <v>1</v>
      </c>
      <c r="D151" t="s">
        <v>30</v>
      </c>
      <c r="E151" t="b">
        <f>LEN(TRIM(D151))=0</f>
        <v>0</v>
      </c>
      <c r="F151" t="b">
        <f>EXACT(D151,PROPER(D151))</f>
        <v>1</v>
      </c>
      <c r="G151">
        <v>22</v>
      </c>
      <c r="H151" t="b">
        <f>LEN(TRIM(G151))=0</f>
        <v>0</v>
      </c>
      <c r="I151" t="s">
        <v>28</v>
      </c>
      <c r="J151" t="b">
        <f>EXACT(I151,PROPER(I151))</f>
        <v>1</v>
      </c>
      <c r="K151" t="s">
        <v>24</v>
      </c>
      <c r="L151" t="str">
        <f>TRIM(K151)</f>
        <v>HR</v>
      </c>
      <c r="M151" t="b">
        <f>K151&lt;&gt;L151</f>
        <v>0</v>
      </c>
      <c r="O151" t="b">
        <f>LEN(TRIM(N151))=0</f>
        <v>1</v>
      </c>
      <c r="P151" t="b">
        <f>AND(N151&gt;0, N151&lt;1000000)</f>
        <v>0</v>
      </c>
      <c r="Q151" t="s">
        <v>170</v>
      </c>
      <c r="R151" s="2" t="b">
        <f>LEN(TRIM(Q151))=0</f>
        <v>0</v>
      </c>
      <c r="S151" s="2" t="str">
        <f>IF(RIGHT(TRIM(Q151),9)="gmail.com","OK","Typo")</f>
        <v>OK</v>
      </c>
      <c r="T151" s="2" t="str">
        <f>A151&amp;D151&amp;G151&amp;I151&amp;K151&amp;N151&amp;Q151</f>
        <v>AyeshaFemale22KarachiHRayesha88@gmail.com</v>
      </c>
      <c r="U151" s="2" t="b">
        <f>COUNTIF(T:T,T151)&gt;1</f>
        <v>0</v>
      </c>
    </row>
    <row r="152" spans="1:21">
      <c r="A152" t="s">
        <v>135</v>
      </c>
      <c r="B152" t="b">
        <f>LEN(TRIM(A152))=0</f>
        <v>0</v>
      </c>
      <c r="C152" t="b">
        <f>COUNTIF(A:A,A152)&gt;1</f>
        <v>1</v>
      </c>
      <c r="D152" t="s">
        <v>22</v>
      </c>
      <c r="E152" t="b">
        <f>LEN(TRIM(D152))=0</f>
        <v>0</v>
      </c>
      <c r="F152" t="b">
        <f>EXACT(D152,PROPER(D152))</f>
        <v>1</v>
      </c>
      <c r="H152" t="b">
        <f>LEN(TRIM(G152))=0</f>
        <v>1</v>
      </c>
      <c r="I152" t="s">
        <v>45</v>
      </c>
      <c r="J152" t="b">
        <f>EXACT(I152,PROPER(I152))</f>
        <v>1</v>
      </c>
      <c r="K152" t="s">
        <v>24</v>
      </c>
      <c r="L152" t="str">
        <f>TRIM(K152)</f>
        <v>HR</v>
      </c>
      <c r="M152" t="b">
        <f>K152&lt;&gt;L152</f>
        <v>0</v>
      </c>
      <c r="O152" t="b">
        <f>LEN(TRIM(N152))=0</f>
        <v>1</v>
      </c>
      <c r="P152" t="b">
        <f>AND(N152&gt;0, N152&lt;1000000)</f>
        <v>0</v>
      </c>
      <c r="Q152" t="s">
        <v>171</v>
      </c>
      <c r="R152" s="2" t="b">
        <f>LEN(TRIM(Q152))=0</f>
        <v>0</v>
      </c>
      <c r="S152" s="2" t="str">
        <f>IF(RIGHT(TRIM(Q152),9)="gmail.com","OK","Typo")</f>
        <v>OK</v>
      </c>
      <c r="T152" s="2" t="str">
        <f>A152&amp;D152&amp;G152&amp;I152&amp;K152&amp;N152&amp;Q152</f>
        <v>AyeshaMalePeshawarHRayesha89@gmail.com</v>
      </c>
      <c r="U152" s="2" t="b">
        <f>COUNTIF(T:T,T152)&gt;1</f>
        <v>0</v>
      </c>
    </row>
    <row r="153" spans="1:21">
      <c r="A153" t="s">
        <v>135</v>
      </c>
      <c r="B153" t="b">
        <f>LEN(TRIM(A153))=0</f>
        <v>0</v>
      </c>
      <c r="C153" t="b">
        <f>COUNTIF(A:A,A153)&gt;1</f>
        <v>1</v>
      </c>
      <c r="D153" t="s">
        <v>22</v>
      </c>
      <c r="E153" t="b">
        <f>LEN(TRIM(D153))=0</f>
        <v>0</v>
      </c>
      <c r="F153" t="b">
        <f>EXACT(D153,PROPER(D153))</f>
        <v>1</v>
      </c>
      <c r="H153" t="b">
        <f>LEN(TRIM(G153))=0</f>
        <v>1</v>
      </c>
      <c r="I153" t="s">
        <v>32</v>
      </c>
      <c r="J153" t="b">
        <f>EXACT(I153,PROPER(I153))</f>
        <v>1</v>
      </c>
      <c r="K153" t="s">
        <v>35</v>
      </c>
      <c r="L153" t="str">
        <f>TRIM(K153)</f>
        <v>Marketing</v>
      </c>
      <c r="M153" t="b">
        <f>K153&lt;&gt;L153</f>
        <v>0</v>
      </c>
      <c r="N153">
        <v>134139.85999999999</v>
      </c>
      <c r="O153" t="b">
        <f>LEN(TRIM(N153))=0</f>
        <v>0</v>
      </c>
      <c r="P153" t="b">
        <f>AND(N153&gt;0, N153&lt;1000000)</f>
        <v>1</v>
      </c>
      <c r="Q153" t="s">
        <v>172</v>
      </c>
      <c r="R153" s="2" t="b">
        <f>LEN(TRIM(Q153))=0</f>
        <v>0</v>
      </c>
      <c r="S153" s="2" t="str">
        <f>IF(RIGHT(TRIM(Q153),9)="gmail.com","OK","Typo")</f>
        <v>OK</v>
      </c>
      <c r="T153" s="2" t="str">
        <f>A153&amp;D153&amp;G153&amp;I153&amp;K153&amp;N153&amp;Q153</f>
        <v>AyeshaMaleLahoreMarketing134139.86ayesha95@gmail.com</v>
      </c>
      <c r="U153" s="2" t="b">
        <f>COUNTIF(T:T,T153)&gt;1</f>
        <v>0</v>
      </c>
    </row>
    <row r="154" spans="1:21">
      <c r="A154" t="s">
        <v>135</v>
      </c>
      <c r="B154" t="b">
        <f>LEN(TRIM(A154))=0</f>
        <v>0</v>
      </c>
      <c r="C154" t="b">
        <f>COUNTIF(A:A,A154)&gt;1</f>
        <v>1</v>
      </c>
      <c r="D154" t="s">
        <v>22</v>
      </c>
      <c r="E154" t="b">
        <f>LEN(TRIM(D154))=0</f>
        <v>0</v>
      </c>
      <c r="F154" t="b">
        <f>EXACT(D154,PROPER(D154))</f>
        <v>1</v>
      </c>
      <c r="H154" t="b">
        <f>LEN(TRIM(G154))=0</f>
        <v>1</v>
      </c>
      <c r="I154" t="s">
        <v>45</v>
      </c>
      <c r="J154" t="b">
        <f>EXACT(I154,PROPER(I154))</f>
        <v>1</v>
      </c>
      <c r="K154" t="s">
        <v>42</v>
      </c>
      <c r="L154" t="str">
        <f>TRIM(K154)</f>
        <v>IT</v>
      </c>
      <c r="M154" t="b">
        <f>K154&lt;&gt;L154</f>
        <v>0</v>
      </c>
      <c r="N154">
        <v>70649.33</v>
      </c>
      <c r="O154" t="b">
        <f>LEN(TRIM(N154))=0</f>
        <v>0</v>
      </c>
      <c r="P154" t="b">
        <f>AND(N154&gt;0, N154&lt;1000000)</f>
        <v>1</v>
      </c>
      <c r="Q154" t="s">
        <v>172</v>
      </c>
      <c r="R154" s="2" t="b">
        <f>LEN(TRIM(Q154))=0</f>
        <v>0</v>
      </c>
      <c r="S154" s="2" t="str">
        <f>IF(RIGHT(TRIM(Q154),9)="gmail.com","OK","Typo")</f>
        <v>OK</v>
      </c>
      <c r="T154" s="2" t="str">
        <f>A154&amp;D154&amp;G154&amp;I154&amp;K154&amp;N154&amp;Q154</f>
        <v>AyeshaMalePeshawarIT70649.33ayesha95@gmail.com</v>
      </c>
      <c r="U154" s="2" t="b">
        <f>COUNTIF(T:T,T154)&gt;1</f>
        <v>0</v>
      </c>
    </row>
    <row r="155" spans="1:21">
      <c r="A155" t="s">
        <v>135</v>
      </c>
      <c r="B155" t="b">
        <f>LEN(TRIM(A155))=0</f>
        <v>0</v>
      </c>
      <c r="C155" t="b">
        <f>COUNTIF(A:A,A155)&gt;1</f>
        <v>1</v>
      </c>
      <c r="D155" t="s">
        <v>22</v>
      </c>
      <c r="E155" t="b">
        <f>LEN(TRIM(D155))=0</f>
        <v>0</v>
      </c>
      <c r="F155" t="b">
        <f>EXACT(D155,PROPER(D155))</f>
        <v>1</v>
      </c>
      <c r="G155">
        <v>53</v>
      </c>
      <c r="H155" t="b">
        <f>LEN(TRIM(G155))=0</f>
        <v>0</v>
      </c>
      <c r="I155" t="s">
        <v>32</v>
      </c>
      <c r="J155" t="b">
        <f>EXACT(I155,PROPER(I155))</f>
        <v>1</v>
      </c>
      <c r="K155" t="s">
        <v>35</v>
      </c>
      <c r="L155" t="str">
        <f>TRIM(K155)</f>
        <v>Marketing</v>
      </c>
      <c r="M155" t="b">
        <f>K155&lt;&gt;L155</f>
        <v>0</v>
      </c>
      <c r="O155" t="b">
        <f>LEN(TRIM(N155))=0</f>
        <v>1</v>
      </c>
      <c r="P155" t="b">
        <f>AND(N155&gt;0, N155&lt;1000000)</f>
        <v>0</v>
      </c>
      <c r="Q155" t="s">
        <v>172</v>
      </c>
      <c r="R155" s="2" t="b">
        <f>LEN(TRIM(Q155))=0</f>
        <v>0</v>
      </c>
      <c r="S155" s="2" t="str">
        <f>IF(RIGHT(TRIM(Q155),9)="gmail.com","OK","Typo")</f>
        <v>OK</v>
      </c>
      <c r="T155" s="2" t="str">
        <f>A155&amp;D155&amp;G155&amp;I155&amp;K155&amp;N155&amp;Q155</f>
        <v>AyeshaMale53LahoreMarketingayesha95@gmail.com</v>
      </c>
      <c r="U155" s="2" t="b">
        <f>COUNTIF(T:T,T155)&gt;1</f>
        <v>0</v>
      </c>
    </row>
    <row r="156" spans="1:21">
      <c r="A156" t="s">
        <v>135</v>
      </c>
      <c r="B156" t="b">
        <f>LEN(TRIM(A156))=0</f>
        <v>0</v>
      </c>
      <c r="C156" t="b">
        <f>COUNTIF(A:A,A156)&gt;1</f>
        <v>1</v>
      </c>
      <c r="D156" t="s">
        <v>22</v>
      </c>
      <c r="E156" t="b">
        <f>LEN(TRIM(D156))=0</f>
        <v>0</v>
      </c>
      <c r="F156" t="b">
        <f>EXACT(D156,PROPER(D156))</f>
        <v>1</v>
      </c>
      <c r="G156">
        <v>54</v>
      </c>
      <c r="H156" t="b">
        <f>LEN(TRIM(G156))=0</f>
        <v>0</v>
      </c>
      <c r="I156" t="s">
        <v>45</v>
      </c>
      <c r="J156" t="b">
        <f>EXACT(I156,PROPER(I156))</f>
        <v>1</v>
      </c>
      <c r="K156" t="s">
        <v>24</v>
      </c>
      <c r="L156" t="str">
        <f>TRIM(K156)</f>
        <v>HR</v>
      </c>
      <c r="M156" t="b">
        <f>K156&lt;&gt;L156</f>
        <v>0</v>
      </c>
      <c r="O156" t="b">
        <f>LEN(TRIM(N156))=0</f>
        <v>1</v>
      </c>
      <c r="P156" t="b">
        <f>AND(N156&gt;0, N156&lt;1000000)</f>
        <v>0</v>
      </c>
      <c r="Q156" t="s">
        <v>172</v>
      </c>
      <c r="R156" s="2" t="b">
        <f>LEN(TRIM(Q156))=0</f>
        <v>0</v>
      </c>
      <c r="S156" s="2" t="str">
        <f>IF(RIGHT(TRIM(Q156),9)="gmail.com","OK","Typo")</f>
        <v>OK</v>
      </c>
      <c r="T156" s="2" t="str">
        <f>A156&amp;D156&amp;G156&amp;I156&amp;K156&amp;N156&amp;Q156</f>
        <v>AyeshaMale54PeshawarHRayesha95@gmail.com</v>
      </c>
      <c r="U156" s="2" t="b">
        <f>COUNTIF(T:T,T156)&gt;1</f>
        <v>0</v>
      </c>
    </row>
    <row r="157" spans="1:21">
      <c r="A157" t="s">
        <v>135</v>
      </c>
      <c r="B157" t="b">
        <f>LEN(TRIM(A157))=0</f>
        <v>0</v>
      </c>
      <c r="C157" t="b">
        <f>COUNTIF(A:A,A157)&gt;1</f>
        <v>1</v>
      </c>
      <c r="D157" t="s">
        <v>30</v>
      </c>
      <c r="E157" t="b">
        <f>LEN(TRIM(D157))=0</f>
        <v>0</v>
      </c>
      <c r="F157" t="b">
        <f>EXACT(D157,PROPER(D157))</f>
        <v>1</v>
      </c>
      <c r="H157" t="b">
        <f>LEN(TRIM(G157))=0</f>
        <v>1</v>
      </c>
      <c r="I157" t="s">
        <v>28</v>
      </c>
      <c r="J157" t="b">
        <f>EXACT(I157,PROPER(I157))</f>
        <v>1</v>
      </c>
      <c r="K157" t="s">
        <v>24</v>
      </c>
      <c r="L157" t="str">
        <f>TRIM(K157)</f>
        <v>HR</v>
      </c>
      <c r="M157" t="b">
        <f>K157&lt;&gt;L157</f>
        <v>0</v>
      </c>
      <c r="O157" t="b">
        <f>LEN(TRIM(N157))=0</f>
        <v>1</v>
      </c>
      <c r="P157" t="b">
        <f>AND(N157&gt;0, N157&lt;1000000)</f>
        <v>0</v>
      </c>
      <c r="Q157" t="s">
        <v>172</v>
      </c>
      <c r="R157" s="2" t="b">
        <f>LEN(TRIM(Q157))=0</f>
        <v>0</v>
      </c>
      <c r="S157" s="2" t="str">
        <f>IF(RIGHT(TRIM(Q157),9)="gmail.com","OK","Typo")</f>
        <v>OK</v>
      </c>
      <c r="T157" s="2" t="str">
        <f>A157&amp;D157&amp;G157&amp;I157&amp;K157&amp;N157&amp;Q157</f>
        <v>AyeshaFemaleKarachiHRayesha95@gmail.com</v>
      </c>
      <c r="U157" s="2" t="b">
        <f>COUNTIF(T:T,T157)&gt;1</f>
        <v>0</v>
      </c>
    </row>
    <row r="158" spans="1:21">
      <c r="A158" t="s">
        <v>135</v>
      </c>
      <c r="B158" t="b">
        <f>LEN(TRIM(A158))=0</f>
        <v>0</v>
      </c>
      <c r="C158" t="b">
        <f>COUNTIF(A:A,A158)&gt;1</f>
        <v>1</v>
      </c>
      <c r="D158" t="s">
        <v>30</v>
      </c>
      <c r="E158" t="b">
        <f>LEN(TRIM(D158))=0</f>
        <v>0</v>
      </c>
      <c r="F158" t="b">
        <f>EXACT(D158,PROPER(D158))</f>
        <v>1</v>
      </c>
      <c r="G158">
        <v>44</v>
      </c>
      <c r="H158" t="b">
        <f>LEN(TRIM(G158))=0</f>
        <v>0</v>
      </c>
      <c r="I158" t="s">
        <v>28</v>
      </c>
      <c r="J158" t="b">
        <f>EXACT(I158,PROPER(I158))</f>
        <v>1</v>
      </c>
      <c r="K158" t="s">
        <v>38</v>
      </c>
      <c r="L158" t="str">
        <f>TRIM(K158)</f>
        <v>Sales</v>
      </c>
      <c r="M158" t="b">
        <f>K158&lt;&gt;L158</f>
        <v>0</v>
      </c>
      <c r="N158">
        <v>37728.53</v>
      </c>
      <c r="O158" t="b">
        <f>LEN(TRIM(N158))=0</f>
        <v>0</v>
      </c>
      <c r="P158" t="b">
        <f>AND(N158&gt;0, N158&lt;1000000)</f>
        <v>1</v>
      </c>
      <c r="Q158" t="s">
        <v>173</v>
      </c>
      <c r="R158" s="2" t="b">
        <f>LEN(TRIM(Q158))=0</f>
        <v>0</v>
      </c>
      <c r="S158" s="2" t="str">
        <f>IF(RIGHT(TRIM(Q158),9)="gmail.com","OK","Typo")</f>
        <v>OK</v>
      </c>
      <c r="T158" s="2" t="str">
        <f>A158&amp;D158&amp;G158&amp;I158&amp;K158&amp;N158&amp;Q158</f>
        <v>AyeshaFemale44KarachiSales37728.53ayesha97@gmail.com</v>
      </c>
      <c r="U158" s="2" t="b">
        <f>COUNTIF(T:T,T158)&gt;1</f>
        <v>0</v>
      </c>
    </row>
    <row r="159" spans="1:21">
      <c r="A159" t="s">
        <v>135</v>
      </c>
      <c r="B159" t="b">
        <f>LEN(TRIM(A159))=0</f>
        <v>0</v>
      </c>
      <c r="C159" t="b">
        <f>COUNTIF(A:A,A159)&gt;1</f>
        <v>1</v>
      </c>
      <c r="D159" t="s">
        <v>22</v>
      </c>
      <c r="E159" t="b">
        <f>LEN(TRIM(D159))=0</f>
        <v>0</v>
      </c>
      <c r="F159" t="b">
        <f>EXACT(D159,PROPER(D159))</f>
        <v>1</v>
      </c>
      <c r="H159" t="b">
        <f>LEN(TRIM(G159))=0</f>
        <v>1</v>
      </c>
      <c r="I159" t="s">
        <v>45</v>
      </c>
      <c r="J159" t="b">
        <f>EXACT(I159,PROPER(I159))</f>
        <v>1</v>
      </c>
      <c r="K159" t="s">
        <v>24</v>
      </c>
      <c r="L159" t="str">
        <f>TRIM(K159)</f>
        <v>HR</v>
      </c>
      <c r="M159" t="b">
        <f>K159&lt;&gt;L159</f>
        <v>0</v>
      </c>
      <c r="O159" t="b">
        <f>LEN(TRIM(N159))=0</f>
        <v>1</v>
      </c>
      <c r="P159" t="b">
        <f>AND(N159&gt;0, N159&lt;1000000)</f>
        <v>0</v>
      </c>
      <c r="Q159" t="s">
        <v>174</v>
      </c>
      <c r="R159" s="2" t="b">
        <f>LEN(TRIM(Q159))=0</f>
        <v>0</v>
      </c>
      <c r="S159" s="2" t="str">
        <f>IF(RIGHT(TRIM(Q159),9)="gmail.com","OK","Typo")</f>
        <v>OK</v>
      </c>
      <c r="T159" s="2" t="str">
        <f>A159&amp;D159&amp;G159&amp;I159&amp;K159&amp;N159&amp;Q159</f>
        <v>AyeshaMalePeshawarHRayesha98@gmail.com</v>
      </c>
      <c r="U159" s="2" t="b">
        <f>COUNTIF(T:T,T159)&gt;1</f>
        <v>0</v>
      </c>
    </row>
    <row r="160" spans="1:21">
      <c r="A160" t="s">
        <v>175</v>
      </c>
      <c r="B160" t="b">
        <f>LEN(TRIM(A160))=0</f>
        <v>0</v>
      </c>
      <c r="C160" t="b">
        <f>COUNTIF(A:A,A160)&gt;1</f>
        <v>1</v>
      </c>
      <c r="D160" t="s">
        <v>22</v>
      </c>
      <c r="E160" t="b">
        <f>LEN(TRIM(D160))=0</f>
        <v>0</v>
      </c>
      <c r="F160" t="b">
        <f>EXACT(D160,PROPER(D160))</f>
        <v>1</v>
      </c>
      <c r="H160" t="b">
        <f>LEN(TRIM(G160))=0</f>
        <v>1</v>
      </c>
      <c r="I160" t="s">
        <v>37</v>
      </c>
      <c r="J160" t="b">
        <f>EXACT(I160,PROPER(I160))</f>
        <v>1</v>
      </c>
      <c r="K160" t="s">
        <v>74</v>
      </c>
      <c r="L160" t="str">
        <f>TRIM(K160)</f>
        <v>Marketing</v>
      </c>
      <c r="M160" t="b">
        <f>K160&lt;&gt;L160</f>
        <v>1</v>
      </c>
      <c r="N160">
        <v>47621.24</v>
      </c>
      <c r="O160" t="b">
        <f>LEN(TRIM(N160))=0</f>
        <v>0</v>
      </c>
      <c r="P160" t="b">
        <f>AND(N160&gt;0, N160&lt;1000000)</f>
        <v>1</v>
      </c>
      <c r="Q160" t="s">
        <v>176</v>
      </c>
      <c r="R160" s="2" t="b">
        <f>LEN(TRIM(Q160))=0</f>
        <v>0</v>
      </c>
      <c r="S160" s="2" t="str">
        <f>IF(RIGHT(TRIM(Q160),9)="gmail.com","OK","Typo")</f>
        <v>OK</v>
      </c>
      <c r="T160" s="2" t="str">
        <f>A160&amp;D160&amp;G160&amp;I160&amp;K160&amp;N160&amp;Q160</f>
        <v>BilalMaleIslamabad Marketing 47621.24bilal1@gmail.com</v>
      </c>
      <c r="U160" s="2" t="b">
        <f>COUNTIF(T:T,T160)&gt;1</f>
        <v>0</v>
      </c>
    </row>
    <row r="161" spans="1:21">
      <c r="A161" t="s">
        <v>175</v>
      </c>
      <c r="B161" t="b">
        <f>LEN(TRIM(A161))=0</f>
        <v>0</v>
      </c>
      <c r="C161" t="b">
        <f>COUNTIF(A:A,A161)&gt;1</f>
        <v>1</v>
      </c>
      <c r="D161" t="s">
        <v>22</v>
      </c>
      <c r="E161" t="b">
        <f>LEN(TRIM(D161))=0</f>
        <v>0</v>
      </c>
      <c r="F161" t="b">
        <f>EXACT(D161,PROPER(D161))</f>
        <v>1</v>
      </c>
      <c r="H161" t="b">
        <f>LEN(TRIM(G161))=0</f>
        <v>1</v>
      </c>
      <c r="I161" t="s">
        <v>37</v>
      </c>
      <c r="J161" t="b">
        <f>EXACT(I161,PROPER(I161))</f>
        <v>1</v>
      </c>
      <c r="K161" t="s">
        <v>29</v>
      </c>
      <c r="L161" t="str">
        <f>TRIM(K161)</f>
        <v>Finance</v>
      </c>
      <c r="M161" t="b">
        <f>K161&lt;&gt;L161</f>
        <v>0</v>
      </c>
      <c r="O161" t="b">
        <f>LEN(TRIM(N161))=0</f>
        <v>1</v>
      </c>
      <c r="P161" t="b">
        <f>AND(N161&gt;0, N161&lt;1000000)</f>
        <v>0</v>
      </c>
      <c r="Q161" t="s">
        <v>177</v>
      </c>
      <c r="R161" s="2" t="b">
        <f>LEN(TRIM(Q161))=0</f>
        <v>0</v>
      </c>
      <c r="S161" s="2" t="str">
        <f>IF(RIGHT(TRIM(Q161),9)="gmail.com","OK","Typo")</f>
        <v>OK</v>
      </c>
      <c r="T161" s="2" t="str">
        <f>A161&amp;D161&amp;G161&amp;I161&amp;K161&amp;N161&amp;Q161</f>
        <v>BilalMaleIslamabadFinancebilal13@gmail.com</v>
      </c>
      <c r="U161" s="2" t="b">
        <f>COUNTIF(T:T,T161)&gt;1</f>
        <v>0</v>
      </c>
    </row>
    <row r="162" spans="1:21">
      <c r="A162" t="s">
        <v>175</v>
      </c>
      <c r="B162" t="b">
        <f>LEN(TRIM(A162))=0</f>
        <v>0</v>
      </c>
      <c r="C162" t="b">
        <f>COUNTIF(A:A,A162)&gt;1</f>
        <v>1</v>
      </c>
      <c r="D162" t="s">
        <v>30</v>
      </c>
      <c r="E162" t="b">
        <f>LEN(TRIM(D162))=0</f>
        <v>0</v>
      </c>
      <c r="F162" t="b">
        <f>EXACT(D162,PROPER(D162))</f>
        <v>1</v>
      </c>
      <c r="G162">
        <v>38</v>
      </c>
      <c r="H162" t="b">
        <f>LEN(TRIM(G162))=0</f>
        <v>0</v>
      </c>
      <c r="I162" t="s">
        <v>28</v>
      </c>
      <c r="J162" t="b">
        <f>EXACT(I162,PROPER(I162))</f>
        <v>1</v>
      </c>
      <c r="K162" t="s">
        <v>24</v>
      </c>
      <c r="L162" t="str">
        <f>TRIM(K162)</f>
        <v>HR</v>
      </c>
      <c r="M162" t="b">
        <f>K162&lt;&gt;L162</f>
        <v>0</v>
      </c>
      <c r="O162" t="b">
        <f>LEN(TRIM(N162))=0</f>
        <v>1</v>
      </c>
      <c r="P162" t="b">
        <f>AND(N162&gt;0, N162&lt;1000000)</f>
        <v>0</v>
      </c>
      <c r="Q162" t="s">
        <v>178</v>
      </c>
      <c r="R162" s="2" t="b">
        <f>LEN(TRIM(Q162))=0</f>
        <v>0</v>
      </c>
      <c r="S162" s="2" t="str">
        <f>IF(RIGHT(TRIM(Q162),9)="gmail.com","OK","Typo")</f>
        <v>OK</v>
      </c>
      <c r="T162" s="2" t="str">
        <f>A162&amp;D162&amp;G162&amp;I162&amp;K162&amp;N162&amp;Q162</f>
        <v>BilalFemale38KarachiHRbilal16@gmail.com</v>
      </c>
      <c r="U162" s="2" t="b">
        <f>COUNTIF(T:T,T162)&gt;1</f>
        <v>0</v>
      </c>
    </row>
    <row r="163" spans="1:21">
      <c r="A163" t="s">
        <v>175</v>
      </c>
      <c r="B163" t="b">
        <f>LEN(TRIM(A163))=0</f>
        <v>0</v>
      </c>
      <c r="C163" t="b">
        <f>COUNTIF(A:A,A163)&gt;1</f>
        <v>1</v>
      </c>
      <c r="D163" t="s">
        <v>30</v>
      </c>
      <c r="E163" t="b">
        <f>LEN(TRIM(D163))=0</f>
        <v>0</v>
      </c>
      <c r="F163" t="b">
        <f>EXACT(D163,PROPER(D163))</f>
        <v>1</v>
      </c>
      <c r="H163" t="b">
        <f>LEN(TRIM(G163))=0</f>
        <v>1</v>
      </c>
      <c r="I163" t="s">
        <v>23</v>
      </c>
      <c r="J163" t="b">
        <f>EXACT(I163,PROPER(I163))</f>
        <v>1</v>
      </c>
      <c r="K163" t="s">
        <v>24</v>
      </c>
      <c r="L163" t="str">
        <f>TRIM(K163)</f>
        <v>HR</v>
      </c>
      <c r="M163" t="b">
        <f>K163&lt;&gt;L163</f>
        <v>0</v>
      </c>
      <c r="O163" t="b">
        <f>LEN(TRIM(N163))=0</f>
        <v>1</v>
      </c>
      <c r="P163" t="b">
        <f>AND(N163&gt;0, N163&lt;1000000)</f>
        <v>0</v>
      </c>
      <c r="Q163" t="s">
        <v>179</v>
      </c>
      <c r="R163" s="2" t="b">
        <f>LEN(TRIM(Q163))=0</f>
        <v>0</v>
      </c>
      <c r="S163" s="2" t="str">
        <f>IF(RIGHT(TRIM(Q163),9)="gmail.com","OK","Typo")</f>
        <v>OK</v>
      </c>
      <c r="T163" s="2" t="str">
        <f>A163&amp;D163&amp;G163&amp;I163&amp;K163&amp;N163&amp;Q163</f>
        <v>BilalFemaleQuettaHRbilal17@gmail.com</v>
      </c>
      <c r="U163" s="2" t="b">
        <f>COUNTIF(T:T,T163)&gt;1</f>
        <v>0</v>
      </c>
    </row>
    <row r="164" spans="1:21">
      <c r="A164" t="s">
        <v>175</v>
      </c>
      <c r="B164" t="b">
        <f>LEN(TRIM(A164))=0</f>
        <v>0</v>
      </c>
      <c r="C164" t="b">
        <f>COUNTIF(A:A,A164)&gt;1</f>
        <v>1</v>
      </c>
      <c r="D164" t="s">
        <v>30</v>
      </c>
      <c r="E164" t="b">
        <f>LEN(TRIM(D164))=0</f>
        <v>0</v>
      </c>
      <c r="F164" t="b">
        <f>EXACT(D164,PROPER(D164))</f>
        <v>1</v>
      </c>
      <c r="G164">
        <v>25</v>
      </c>
      <c r="H164" t="b">
        <f>LEN(TRIM(G164))=0</f>
        <v>0</v>
      </c>
      <c r="I164" t="s">
        <v>37</v>
      </c>
      <c r="J164" t="b">
        <f>EXACT(I164,PROPER(I164))</f>
        <v>1</v>
      </c>
      <c r="K164" t="s">
        <v>26</v>
      </c>
      <c r="L164" t="str">
        <f>TRIM(K164)</f>
        <v>HR</v>
      </c>
      <c r="M164" t="b">
        <f>K164&lt;&gt;L164</f>
        <v>1</v>
      </c>
      <c r="O164" t="b">
        <f>LEN(TRIM(N164))=0</f>
        <v>1</v>
      </c>
      <c r="P164" t="b">
        <f>AND(N164&gt;0, N164&lt;1000000)</f>
        <v>0</v>
      </c>
      <c r="Q164" t="s">
        <v>180</v>
      </c>
      <c r="R164" s="2" t="b">
        <f>LEN(TRIM(Q164))=0</f>
        <v>0</v>
      </c>
      <c r="S164" s="2" t="str">
        <f>IF(RIGHT(TRIM(Q164),9)="gmail.com","OK","Typo")</f>
        <v>OK</v>
      </c>
      <c r="T164" s="2" t="str">
        <f>A164&amp;D164&amp;G164&amp;I164&amp;K164&amp;N164&amp;Q164</f>
        <v>BilalFemale25Islamabad HR bilal2@gmail.com</v>
      </c>
      <c r="U164" s="2" t="b">
        <f>COUNTIF(T:T,T164)&gt;1</f>
        <v>0</v>
      </c>
    </row>
    <row r="165" spans="1:21">
      <c r="A165" t="s">
        <v>175</v>
      </c>
      <c r="B165" t="b">
        <f>LEN(TRIM(A165))=0</f>
        <v>0</v>
      </c>
      <c r="C165" t="b">
        <f>COUNTIF(A:A,A165)&gt;1</f>
        <v>1</v>
      </c>
      <c r="D165" t="s">
        <v>30</v>
      </c>
      <c r="E165" t="b">
        <f>LEN(TRIM(D165))=0</f>
        <v>0</v>
      </c>
      <c r="F165" t="b">
        <f>EXACT(D165,PROPER(D165))</f>
        <v>1</v>
      </c>
      <c r="G165">
        <v>29</v>
      </c>
      <c r="H165" t="b">
        <f>LEN(TRIM(G165))=0</f>
        <v>0</v>
      </c>
      <c r="I165" t="s">
        <v>157</v>
      </c>
      <c r="J165" t="b">
        <f>EXACT(I165,PROPER(I165))</f>
        <v>0</v>
      </c>
      <c r="K165" t="s">
        <v>38</v>
      </c>
      <c r="L165" t="str">
        <f>TRIM(K165)</f>
        <v>Sales</v>
      </c>
      <c r="M165" t="b">
        <f>K165&lt;&gt;L165</f>
        <v>0</v>
      </c>
      <c r="O165" t="b">
        <f>LEN(TRIM(N165))=0</f>
        <v>1</v>
      </c>
      <c r="P165" t="b">
        <f>AND(N165&gt;0, N165&lt;1000000)</f>
        <v>0</v>
      </c>
      <c r="Q165" t="s">
        <v>180</v>
      </c>
      <c r="R165" s="2" t="b">
        <f>LEN(TRIM(Q165))=0</f>
        <v>0</v>
      </c>
      <c r="S165" s="2" t="str">
        <f>IF(RIGHT(TRIM(Q165),9)="gmail.com","OK","Typo")</f>
        <v>OK</v>
      </c>
      <c r="T165" s="2" t="str">
        <f>A165&amp;D165&amp;G165&amp;I165&amp;K165&amp;N165&amp;Q165</f>
        <v>BilalFemale29islamabadSalesbilal2@gmail.com</v>
      </c>
      <c r="U165" s="2" t="b">
        <f>COUNTIF(T:T,T165)&gt;1</f>
        <v>0</v>
      </c>
    </row>
    <row r="166" spans="1:21">
      <c r="A166" t="s">
        <v>175</v>
      </c>
      <c r="B166" t="b">
        <f>LEN(TRIM(A166))=0</f>
        <v>0</v>
      </c>
      <c r="C166" t="b">
        <f>COUNTIF(A:A,A166)&gt;1</f>
        <v>1</v>
      </c>
      <c r="D166" t="s">
        <v>22</v>
      </c>
      <c r="E166" t="b">
        <f>LEN(TRIM(D166))=0</f>
        <v>0</v>
      </c>
      <c r="F166" t="b">
        <f>EXACT(D166,PROPER(D166))</f>
        <v>1</v>
      </c>
      <c r="G166">
        <v>57</v>
      </c>
      <c r="H166" t="b">
        <f>LEN(TRIM(G166))=0</f>
        <v>0</v>
      </c>
      <c r="I166" t="s">
        <v>101</v>
      </c>
      <c r="J166" t="b">
        <f>EXACT(I166,PROPER(I166))</f>
        <v>0</v>
      </c>
      <c r="K166" t="s">
        <v>42</v>
      </c>
      <c r="L166" t="str">
        <f>TRIM(K166)</f>
        <v>IT</v>
      </c>
      <c r="M166" t="b">
        <f>K166&lt;&gt;L166</f>
        <v>0</v>
      </c>
      <c r="N166">
        <v>101265.41</v>
      </c>
      <c r="O166" t="b">
        <f>LEN(TRIM(N166))=0</f>
        <v>0</v>
      </c>
      <c r="P166" t="b">
        <f>AND(N166&gt;0, N166&lt;1000000)</f>
        <v>1</v>
      </c>
      <c r="Q166" t="s">
        <v>181</v>
      </c>
      <c r="R166" s="2" t="b">
        <f>LEN(TRIM(Q166))=0</f>
        <v>0</v>
      </c>
      <c r="S166" s="2" t="str">
        <f>IF(RIGHT(TRIM(Q166),9)="gmail.com","OK","Typo")</f>
        <v>OK</v>
      </c>
      <c r="T166" s="2" t="str">
        <f>A166&amp;D166&amp;G166&amp;I166&amp;K166&amp;N166&amp;Q166</f>
        <v>BilalMale57peshawarIT101265.41bilal22@gmail.com</v>
      </c>
      <c r="U166" s="2" t="b">
        <f>COUNTIF(T:T,T166)&gt;1</f>
        <v>0</v>
      </c>
    </row>
    <row r="167" spans="1:21">
      <c r="A167" t="s">
        <v>175</v>
      </c>
      <c r="B167" t="b">
        <f>LEN(TRIM(A167))=0</f>
        <v>0</v>
      </c>
      <c r="C167" t="b">
        <f>COUNTIF(A:A,A167)&gt;1</f>
        <v>1</v>
      </c>
      <c r="D167" t="s">
        <v>30</v>
      </c>
      <c r="E167" t="b">
        <f>LEN(TRIM(D167))=0</f>
        <v>0</v>
      </c>
      <c r="F167" t="b">
        <f>EXACT(D167,PROPER(D167))</f>
        <v>1</v>
      </c>
      <c r="G167">
        <v>59</v>
      </c>
      <c r="H167" t="b">
        <f>LEN(TRIM(G167))=0</f>
        <v>0</v>
      </c>
      <c r="I167" t="s">
        <v>28</v>
      </c>
      <c r="J167" t="b">
        <f>EXACT(I167,PROPER(I167))</f>
        <v>1</v>
      </c>
      <c r="K167" t="s">
        <v>35</v>
      </c>
      <c r="L167" t="str">
        <f>TRIM(K167)</f>
        <v>Marketing</v>
      </c>
      <c r="M167" t="b">
        <f>K167&lt;&gt;L167</f>
        <v>0</v>
      </c>
      <c r="N167">
        <v>137708.20000000001</v>
      </c>
      <c r="O167" t="b">
        <f>LEN(TRIM(N167))=0</f>
        <v>0</v>
      </c>
      <c r="P167" t="b">
        <f>AND(N167&gt;0, N167&lt;1000000)</f>
        <v>1</v>
      </c>
      <c r="Q167" t="s">
        <v>182</v>
      </c>
      <c r="R167" s="2" t="b">
        <f>LEN(TRIM(Q167))=0</f>
        <v>0</v>
      </c>
      <c r="S167" s="2" t="str">
        <f>IF(RIGHT(TRIM(Q167),9)="gmail.com","OK","Typo")</f>
        <v>OK</v>
      </c>
      <c r="T167" s="2" t="str">
        <f>A167&amp;D167&amp;G167&amp;I167&amp;K167&amp;N167&amp;Q167</f>
        <v>BilalFemale59KarachiMarketing137708.2bilal27@gmail.com</v>
      </c>
      <c r="U167" s="2" t="b">
        <f>COUNTIF(T:T,T167)&gt;1</f>
        <v>0</v>
      </c>
    </row>
    <row r="168" spans="1:21">
      <c r="A168" t="s">
        <v>175</v>
      </c>
      <c r="B168" t="b">
        <f>LEN(TRIM(A168))=0</f>
        <v>0</v>
      </c>
      <c r="C168" t="b">
        <f>COUNTIF(A:A,A168)&gt;1</f>
        <v>1</v>
      </c>
      <c r="D168" t="s">
        <v>30</v>
      </c>
      <c r="E168" t="b">
        <f>LEN(TRIM(D168))=0</f>
        <v>0</v>
      </c>
      <c r="F168" t="b">
        <f>EXACT(D168,PROPER(D168))</f>
        <v>1</v>
      </c>
      <c r="H168" t="b">
        <f>LEN(TRIM(G168))=0</f>
        <v>1</v>
      </c>
      <c r="I168" t="s">
        <v>66</v>
      </c>
      <c r="J168" t="b">
        <f>EXACT(I168,PROPER(I168))</f>
        <v>0</v>
      </c>
      <c r="K168" t="s">
        <v>38</v>
      </c>
      <c r="L168" t="str">
        <f>TRIM(K168)</f>
        <v>Sales</v>
      </c>
      <c r="M168" t="b">
        <f>K168&lt;&gt;L168</f>
        <v>0</v>
      </c>
      <c r="O168" t="b">
        <f>LEN(TRIM(N168))=0</f>
        <v>1</v>
      </c>
      <c r="P168" t="b">
        <f>AND(N168&gt;0, N168&lt;1000000)</f>
        <v>0</v>
      </c>
      <c r="Q168" t="s">
        <v>182</v>
      </c>
      <c r="R168" s="2" t="b">
        <f>LEN(TRIM(Q168))=0</f>
        <v>0</v>
      </c>
      <c r="S168" s="2" t="str">
        <f>IF(RIGHT(TRIM(Q168),9)="gmail.com","OK","Typo")</f>
        <v>OK</v>
      </c>
      <c r="T168" s="2" t="str">
        <f>A168&amp;D168&amp;G168&amp;I168&amp;K168&amp;N168&amp;Q168</f>
        <v>BilalFemalekarachiSalesbilal27@gmail.com</v>
      </c>
      <c r="U168" s="2" t="b">
        <f>COUNTIF(T:T,T168)&gt;1</f>
        <v>0</v>
      </c>
    </row>
    <row r="169" spans="1:21">
      <c r="A169" t="s">
        <v>175</v>
      </c>
      <c r="B169" t="b">
        <f>LEN(TRIM(A169))=0</f>
        <v>0</v>
      </c>
      <c r="C169" t="b">
        <f>COUNTIF(A:A,A169)&gt;1</f>
        <v>1</v>
      </c>
      <c r="D169" t="s">
        <v>30</v>
      </c>
      <c r="E169" t="b">
        <f>LEN(TRIM(D169))=0</f>
        <v>0</v>
      </c>
      <c r="F169" t="b">
        <f>EXACT(D169,PROPER(D169))</f>
        <v>1</v>
      </c>
      <c r="H169" t="b">
        <f>LEN(TRIM(G169))=0</f>
        <v>1</v>
      </c>
      <c r="I169" t="s">
        <v>45</v>
      </c>
      <c r="J169" t="b">
        <f>EXACT(I169,PROPER(I169))</f>
        <v>1</v>
      </c>
      <c r="K169" t="s">
        <v>35</v>
      </c>
      <c r="L169" t="str">
        <f>TRIM(K169)</f>
        <v>Marketing</v>
      </c>
      <c r="M169" t="b">
        <f>K169&lt;&gt;L169</f>
        <v>0</v>
      </c>
      <c r="O169" t="b">
        <f>LEN(TRIM(N169))=0</f>
        <v>1</v>
      </c>
      <c r="P169" t="b">
        <f>AND(N169&gt;0, N169&lt;1000000)</f>
        <v>0</v>
      </c>
      <c r="Q169" t="s">
        <v>183</v>
      </c>
      <c r="R169" s="2" t="b">
        <f>LEN(TRIM(Q169))=0</f>
        <v>0</v>
      </c>
      <c r="S169" s="2" t="str">
        <f>IF(RIGHT(TRIM(Q169),9)="gmail.com","OK","Typo")</f>
        <v>OK</v>
      </c>
      <c r="T169" s="2" t="str">
        <f>A169&amp;D169&amp;G169&amp;I169&amp;K169&amp;N169&amp;Q169</f>
        <v>BilalFemalePeshawarMarketingbilal30@gmail.com</v>
      </c>
      <c r="U169" s="2" t="b">
        <f>COUNTIF(T:T,T169)&gt;1</f>
        <v>0</v>
      </c>
    </row>
    <row r="170" spans="1:21">
      <c r="A170" t="s">
        <v>175</v>
      </c>
      <c r="B170" t="b">
        <f>LEN(TRIM(A170))=0</f>
        <v>0</v>
      </c>
      <c r="C170" t="b">
        <f>COUNTIF(A:A,A170)&gt;1</f>
        <v>1</v>
      </c>
      <c r="D170" t="s">
        <v>30</v>
      </c>
      <c r="E170" t="b">
        <f>LEN(TRIM(D170))=0</f>
        <v>0</v>
      </c>
      <c r="F170" t="b">
        <f>EXACT(D170,PROPER(D170))</f>
        <v>1</v>
      </c>
      <c r="H170" t="b">
        <f>LEN(TRIM(G170))=0</f>
        <v>1</v>
      </c>
      <c r="I170" t="s">
        <v>37</v>
      </c>
      <c r="J170" t="b">
        <f>EXACT(I170,PROPER(I170))</f>
        <v>1</v>
      </c>
      <c r="K170" t="s">
        <v>29</v>
      </c>
      <c r="L170" t="str">
        <f>TRIM(K170)</f>
        <v>Finance</v>
      </c>
      <c r="M170" t="b">
        <f>K170&lt;&gt;L170</f>
        <v>0</v>
      </c>
      <c r="N170">
        <v>95455.83</v>
      </c>
      <c r="O170" t="b">
        <f>LEN(TRIM(N170))=0</f>
        <v>0</v>
      </c>
      <c r="P170" t="b">
        <f>AND(N170&gt;0, N170&lt;1000000)</f>
        <v>1</v>
      </c>
      <c r="Q170" t="s">
        <v>184</v>
      </c>
      <c r="R170" s="2" t="b">
        <f>LEN(TRIM(Q170))=0</f>
        <v>0</v>
      </c>
      <c r="S170" s="2" t="str">
        <f>IF(RIGHT(TRIM(Q170),9)="gmail.com","OK","Typo")</f>
        <v>OK</v>
      </c>
      <c r="T170" s="2" t="str">
        <f>A170&amp;D170&amp;G170&amp;I170&amp;K170&amp;N170&amp;Q170</f>
        <v>BilalFemaleIslamabadFinance95455.83bilal31@gmail.com</v>
      </c>
      <c r="U170" s="2" t="b">
        <f>COUNTIF(T:T,T170)&gt;1</f>
        <v>0</v>
      </c>
    </row>
    <row r="171" spans="1:21">
      <c r="A171" t="s">
        <v>175</v>
      </c>
      <c r="B171" t="b">
        <f>LEN(TRIM(A171))=0</f>
        <v>0</v>
      </c>
      <c r="C171" t="b">
        <f>COUNTIF(A:A,A171)&gt;1</f>
        <v>1</v>
      </c>
      <c r="D171" t="s">
        <v>22</v>
      </c>
      <c r="E171" t="b">
        <f>LEN(TRIM(D171))=0</f>
        <v>0</v>
      </c>
      <c r="F171" t="b">
        <f>EXACT(D171,PROPER(D171))</f>
        <v>1</v>
      </c>
      <c r="H171" t="b">
        <f>LEN(TRIM(G171))=0</f>
        <v>1</v>
      </c>
      <c r="I171" t="s">
        <v>37</v>
      </c>
      <c r="J171" t="b">
        <f>EXACT(I171,PROPER(I171))</f>
        <v>1</v>
      </c>
      <c r="K171" t="s">
        <v>35</v>
      </c>
      <c r="L171" t="str">
        <f>TRIM(K171)</f>
        <v>Marketing</v>
      </c>
      <c r="M171" t="b">
        <f>K171&lt;&gt;L171</f>
        <v>0</v>
      </c>
      <c r="O171" t="b">
        <f>LEN(TRIM(N171))=0</f>
        <v>1</v>
      </c>
      <c r="P171" t="b">
        <f>AND(N171&gt;0, N171&lt;1000000)</f>
        <v>0</v>
      </c>
      <c r="Q171" t="s">
        <v>185</v>
      </c>
      <c r="R171" s="2" t="b">
        <f>LEN(TRIM(Q171))=0</f>
        <v>0</v>
      </c>
      <c r="S171" s="2" t="str">
        <f>IF(RIGHT(TRIM(Q171),9)="gmail.com","OK","Typo")</f>
        <v>OK</v>
      </c>
      <c r="T171" s="2" t="str">
        <f>A171&amp;D171&amp;G171&amp;I171&amp;K171&amp;N171&amp;Q171</f>
        <v>BilalMaleIslamabadMarketingbilal32@gmail.com</v>
      </c>
      <c r="U171" s="2" t="b">
        <f>COUNTIF(T:T,T171)&gt;1</f>
        <v>0</v>
      </c>
    </row>
    <row r="172" spans="1:21">
      <c r="A172" t="s">
        <v>175</v>
      </c>
      <c r="B172" t="b">
        <f>LEN(TRIM(A172))=0</f>
        <v>0</v>
      </c>
      <c r="C172" t="b">
        <f>COUNTIF(A:A,A172)&gt;1</f>
        <v>1</v>
      </c>
      <c r="D172" t="s">
        <v>30</v>
      </c>
      <c r="E172" t="b">
        <f>LEN(TRIM(D172))=0</f>
        <v>0</v>
      </c>
      <c r="F172" t="b">
        <f>EXACT(D172,PROPER(D172))</f>
        <v>1</v>
      </c>
      <c r="G172">
        <v>53</v>
      </c>
      <c r="H172" t="b">
        <f>LEN(TRIM(G172))=0</f>
        <v>0</v>
      </c>
      <c r="I172" t="s">
        <v>45</v>
      </c>
      <c r="J172" t="b">
        <f>EXACT(I172,PROPER(I172))</f>
        <v>1</v>
      </c>
      <c r="K172" t="s">
        <v>24</v>
      </c>
      <c r="L172" t="str">
        <f>TRIM(K172)</f>
        <v>HR</v>
      </c>
      <c r="M172" t="b">
        <f>K172&lt;&gt;L172</f>
        <v>0</v>
      </c>
      <c r="O172" t="b">
        <f>LEN(TRIM(N172))=0</f>
        <v>1</v>
      </c>
      <c r="P172" t="b">
        <f>AND(N172&gt;0, N172&lt;1000000)</f>
        <v>0</v>
      </c>
      <c r="Q172" t="s">
        <v>186</v>
      </c>
      <c r="R172" s="2" t="b">
        <f>LEN(TRIM(Q172))=0</f>
        <v>0</v>
      </c>
      <c r="S172" s="2" t="str">
        <f>IF(RIGHT(TRIM(Q172),9)="gmail.com","OK","Typo")</f>
        <v>OK</v>
      </c>
      <c r="T172" s="2" t="str">
        <f>A172&amp;D172&amp;G172&amp;I172&amp;K172&amp;N172&amp;Q172</f>
        <v>BilalFemale53PeshawarHRbilal36@gmail.com</v>
      </c>
      <c r="U172" s="2" t="b">
        <f>COUNTIF(T:T,T172)&gt;1</f>
        <v>0</v>
      </c>
    </row>
    <row r="173" spans="1:21">
      <c r="A173" t="s">
        <v>175</v>
      </c>
      <c r="B173" t="b">
        <f>LEN(TRIM(A173))=0</f>
        <v>0</v>
      </c>
      <c r="C173" t="b">
        <f>COUNTIF(A:A,A173)&gt;1</f>
        <v>1</v>
      </c>
      <c r="D173" t="s">
        <v>30</v>
      </c>
      <c r="E173" t="b">
        <f>LEN(TRIM(D173))=0</f>
        <v>0</v>
      </c>
      <c r="F173" t="b">
        <f>EXACT(D173,PROPER(D173))</f>
        <v>1</v>
      </c>
      <c r="G173">
        <v>42</v>
      </c>
      <c r="H173" t="b">
        <f>LEN(TRIM(G173))=0</f>
        <v>0</v>
      </c>
      <c r="I173" t="s">
        <v>23</v>
      </c>
      <c r="J173" t="b">
        <f>EXACT(I173,PROPER(I173))</f>
        <v>1</v>
      </c>
      <c r="K173" t="s">
        <v>35</v>
      </c>
      <c r="L173" t="str">
        <f>TRIM(K173)</f>
        <v>Marketing</v>
      </c>
      <c r="M173" t="b">
        <f>K173&lt;&gt;L173</f>
        <v>0</v>
      </c>
      <c r="O173" t="b">
        <f>LEN(TRIM(N173))=0</f>
        <v>1</v>
      </c>
      <c r="P173" t="b">
        <f>AND(N173&gt;0, N173&lt;1000000)</f>
        <v>0</v>
      </c>
      <c r="Q173" t="s">
        <v>187</v>
      </c>
      <c r="R173" s="2" t="b">
        <f>LEN(TRIM(Q173))=0</f>
        <v>0</v>
      </c>
      <c r="S173" s="2" t="str">
        <f>IF(RIGHT(TRIM(Q173),9)="gmail.com","OK","Typo")</f>
        <v>OK</v>
      </c>
      <c r="T173" s="2" t="str">
        <f>A173&amp;D173&amp;G173&amp;I173&amp;K173&amp;N173&amp;Q173</f>
        <v>BilalFemale42QuettaMarketingbilal37@gmail.com</v>
      </c>
      <c r="U173" s="2" t="b">
        <f>COUNTIF(T:T,T173)&gt;1</f>
        <v>0</v>
      </c>
    </row>
    <row r="174" spans="1:21">
      <c r="A174" t="s">
        <v>175</v>
      </c>
      <c r="B174" t="b">
        <f>LEN(TRIM(A174))=0</f>
        <v>0</v>
      </c>
      <c r="C174" t="b">
        <f>COUNTIF(A:A,A174)&gt;1</f>
        <v>1</v>
      </c>
      <c r="D174" t="s">
        <v>22</v>
      </c>
      <c r="E174" t="b">
        <f>LEN(TRIM(D174))=0</f>
        <v>0</v>
      </c>
      <c r="F174" t="b">
        <f>EXACT(D174,PROPER(D174))</f>
        <v>1</v>
      </c>
      <c r="G174">
        <v>49</v>
      </c>
      <c r="H174" t="b">
        <f>LEN(TRIM(G174))=0</f>
        <v>0</v>
      </c>
      <c r="I174" t="s">
        <v>45</v>
      </c>
      <c r="J174" t="b">
        <f>EXACT(I174,PROPER(I174))</f>
        <v>1</v>
      </c>
      <c r="K174" t="s">
        <v>35</v>
      </c>
      <c r="L174" t="str">
        <f>TRIM(K174)</f>
        <v>Marketing</v>
      </c>
      <c r="M174" t="b">
        <f>K174&lt;&gt;L174</f>
        <v>0</v>
      </c>
      <c r="O174" t="b">
        <f>LEN(TRIM(N174))=0</f>
        <v>1</v>
      </c>
      <c r="P174" t="b">
        <f>AND(N174&gt;0, N174&lt;1000000)</f>
        <v>0</v>
      </c>
      <c r="Q174" t="s">
        <v>187</v>
      </c>
      <c r="R174" s="2" t="b">
        <f>LEN(TRIM(Q174))=0</f>
        <v>0</v>
      </c>
      <c r="S174" s="2" t="str">
        <f>IF(RIGHT(TRIM(Q174),9)="gmail.com","OK","Typo")</f>
        <v>OK</v>
      </c>
      <c r="T174" s="2" t="str">
        <f>A174&amp;D174&amp;G174&amp;I174&amp;K174&amp;N174&amp;Q174</f>
        <v>BilalMale49PeshawarMarketingbilal37@gmail.com</v>
      </c>
      <c r="U174" s="2" t="b">
        <f>COUNTIF(T:T,T174)&gt;1</f>
        <v>0</v>
      </c>
    </row>
    <row r="175" spans="1:21">
      <c r="A175" t="s">
        <v>175</v>
      </c>
      <c r="B175" t="b">
        <f>LEN(TRIM(A175))=0</f>
        <v>0</v>
      </c>
      <c r="C175" t="b">
        <f>COUNTIF(A:A,A175)&gt;1</f>
        <v>1</v>
      </c>
      <c r="D175" t="s">
        <v>30</v>
      </c>
      <c r="E175" t="b">
        <f>LEN(TRIM(D175))=0</f>
        <v>0</v>
      </c>
      <c r="F175" t="b">
        <f>EXACT(D175,PROPER(D175))</f>
        <v>1</v>
      </c>
      <c r="H175" t="b">
        <f>LEN(TRIM(G175))=0</f>
        <v>1</v>
      </c>
      <c r="I175" t="s">
        <v>32</v>
      </c>
      <c r="J175" t="b">
        <f>EXACT(I175,PROPER(I175))</f>
        <v>1</v>
      </c>
      <c r="K175" t="s">
        <v>47</v>
      </c>
      <c r="L175" t="str">
        <f>TRIM(K175)</f>
        <v>Sales</v>
      </c>
      <c r="M175" t="b">
        <f>K175&lt;&gt;L175</f>
        <v>1</v>
      </c>
      <c r="O175" t="b">
        <f>LEN(TRIM(N175))=0</f>
        <v>1</v>
      </c>
      <c r="P175" t="b">
        <f>AND(N175&gt;0, N175&lt;1000000)</f>
        <v>0</v>
      </c>
      <c r="Q175" t="s">
        <v>188</v>
      </c>
      <c r="R175" s="2" t="b">
        <f>LEN(TRIM(Q175))=0</f>
        <v>0</v>
      </c>
      <c r="S175" s="2" t="str">
        <f>IF(RIGHT(TRIM(Q175),9)="gmail.com","OK","Typo")</f>
        <v>OK</v>
      </c>
      <c r="T175" s="2" t="str">
        <f>A175&amp;D175&amp;G175&amp;I175&amp;K175&amp;N175&amp;Q175</f>
        <v>BilalFemaleLahore Sales bilal42@gmail.com</v>
      </c>
      <c r="U175" s="2" t="b">
        <f>COUNTIF(T:T,T175)&gt;1</f>
        <v>0</v>
      </c>
    </row>
    <row r="176" spans="1:21">
      <c r="A176" t="s">
        <v>175</v>
      </c>
      <c r="B176" t="b">
        <f>LEN(TRIM(A176))=0</f>
        <v>0</v>
      </c>
      <c r="C176" t="b">
        <f>COUNTIF(A:A,A176)&gt;1</f>
        <v>1</v>
      </c>
      <c r="D176" t="s">
        <v>30</v>
      </c>
      <c r="E176" t="b">
        <f>LEN(TRIM(D176))=0</f>
        <v>0</v>
      </c>
      <c r="F176" t="b">
        <f>EXACT(D176,PROPER(D176))</f>
        <v>1</v>
      </c>
      <c r="G176">
        <v>30</v>
      </c>
      <c r="H176" t="b">
        <f>LEN(TRIM(G176))=0</f>
        <v>0</v>
      </c>
      <c r="I176" t="s">
        <v>45</v>
      </c>
      <c r="J176" t="b">
        <f>EXACT(I176,PROPER(I176))</f>
        <v>1</v>
      </c>
      <c r="K176" t="s">
        <v>47</v>
      </c>
      <c r="L176" t="str">
        <f>TRIM(K176)</f>
        <v>Sales</v>
      </c>
      <c r="M176" t="b">
        <f>K176&lt;&gt;L176</f>
        <v>1</v>
      </c>
      <c r="O176" t="b">
        <f>LEN(TRIM(N176))=0</f>
        <v>1</v>
      </c>
      <c r="P176" t="b">
        <f>AND(N176&gt;0, N176&lt;1000000)</f>
        <v>0</v>
      </c>
      <c r="Q176" t="s">
        <v>189</v>
      </c>
      <c r="R176" s="2" t="b">
        <f>LEN(TRIM(Q176))=0</f>
        <v>0</v>
      </c>
      <c r="S176" s="2" t="str">
        <f>IF(RIGHT(TRIM(Q176),9)="gmail.com","OK","Typo")</f>
        <v>OK</v>
      </c>
      <c r="T176" s="2" t="str">
        <f>A176&amp;D176&amp;G176&amp;I176&amp;K176&amp;N176&amp;Q176</f>
        <v>BilalFemale30Peshawar Sales bilal44@gmail.com</v>
      </c>
      <c r="U176" s="2" t="b">
        <f>COUNTIF(T:T,T176)&gt;1</f>
        <v>0</v>
      </c>
    </row>
    <row r="177" spans="1:21">
      <c r="A177" t="s">
        <v>175</v>
      </c>
      <c r="B177" t="b">
        <f>LEN(TRIM(A177))=0</f>
        <v>0</v>
      </c>
      <c r="C177" t="b">
        <f>COUNTIF(A:A,A177)&gt;1</f>
        <v>1</v>
      </c>
      <c r="D177" t="s">
        <v>22</v>
      </c>
      <c r="E177" t="b">
        <f>LEN(TRIM(D177))=0</f>
        <v>0</v>
      </c>
      <c r="F177" t="b">
        <f>EXACT(D177,PROPER(D177))</f>
        <v>1</v>
      </c>
      <c r="H177" t="b">
        <f>LEN(TRIM(G177))=0</f>
        <v>1</v>
      </c>
      <c r="I177" t="s">
        <v>37</v>
      </c>
      <c r="J177" t="b">
        <f>EXACT(I177,PROPER(I177))</f>
        <v>1</v>
      </c>
      <c r="K177" t="s">
        <v>24</v>
      </c>
      <c r="L177" t="str">
        <f>TRIM(K177)</f>
        <v>HR</v>
      </c>
      <c r="M177" t="b">
        <f>K177&lt;&gt;L177</f>
        <v>0</v>
      </c>
      <c r="O177" t="b">
        <f>LEN(TRIM(N177))=0</f>
        <v>1</v>
      </c>
      <c r="P177" t="b">
        <f>AND(N177&gt;0, N177&lt;1000000)</f>
        <v>0</v>
      </c>
      <c r="Q177" t="s">
        <v>190</v>
      </c>
      <c r="R177" s="2" t="b">
        <f>LEN(TRIM(Q177))=0</f>
        <v>0</v>
      </c>
      <c r="S177" s="2" t="str">
        <f>IF(RIGHT(TRIM(Q177),9)="gmail.com","OK","Typo")</f>
        <v>OK</v>
      </c>
      <c r="T177" s="2" t="str">
        <f>A177&amp;D177&amp;G177&amp;I177&amp;K177&amp;N177&amp;Q177</f>
        <v>BilalMaleIslamabadHRbilal45@gmail.com</v>
      </c>
      <c r="U177" s="2" t="b">
        <f>COUNTIF(T:T,T177)&gt;1</f>
        <v>0</v>
      </c>
    </row>
    <row r="178" spans="1:21">
      <c r="A178" t="s">
        <v>175</v>
      </c>
      <c r="B178" t="b">
        <f>LEN(TRIM(A178))=0</f>
        <v>0</v>
      </c>
      <c r="C178" t="b">
        <f>COUNTIF(A:A,A178)&gt;1</f>
        <v>1</v>
      </c>
      <c r="D178" t="s">
        <v>30</v>
      </c>
      <c r="E178" t="b">
        <f>LEN(TRIM(D178))=0</f>
        <v>0</v>
      </c>
      <c r="F178" t="b">
        <f>EXACT(D178,PROPER(D178))</f>
        <v>1</v>
      </c>
      <c r="H178" t="b">
        <f>LEN(TRIM(G178))=0</f>
        <v>1</v>
      </c>
      <c r="I178" t="s">
        <v>28</v>
      </c>
      <c r="J178" t="b">
        <f>EXACT(I178,PROPER(I178))</f>
        <v>1</v>
      </c>
      <c r="K178" t="s">
        <v>42</v>
      </c>
      <c r="L178" t="str">
        <f>TRIM(K178)</f>
        <v>IT</v>
      </c>
      <c r="M178" t="b">
        <f>K178&lt;&gt;L178</f>
        <v>0</v>
      </c>
      <c r="O178" t="b">
        <f>LEN(TRIM(N178))=0</f>
        <v>1</v>
      </c>
      <c r="P178" t="b">
        <f>AND(N178&gt;0, N178&lt;1000000)</f>
        <v>0</v>
      </c>
      <c r="Q178" t="s">
        <v>191</v>
      </c>
      <c r="R178" s="2" t="b">
        <f>LEN(TRIM(Q178))=0</f>
        <v>0</v>
      </c>
      <c r="S178" s="2" t="str">
        <f>IF(RIGHT(TRIM(Q178),9)="gmail.com","OK","Typo")</f>
        <v>OK</v>
      </c>
      <c r="T178" s="2" t="str">
        <f>A178&amp;D178&amp;G178&amp;I178&amp;K178&amp;N178&amp;Q178</f>
        <v>BilalFemaleKarachiITbilal46@gmail.com</v>
      </c>
      <c r="U178" s="2" t="b">
        <f>COUNTIF(T:T,T178)&gt;1</f>
        <v>0</v>
      </c>
    </row>
    <row r="179" spans="1:21">
      <c r="A179" t="s">
        <v>175</v>
      </c>
      <c r="B179" t="b">
        <f>LEN(TRIM(A179))=0</f>
        <v>0</v>
      </c>
      <c r="C179" t="b">
        <f>COUNTIF(A:A,A179)&gt;1</f>
        <v>1</v>
      </c>
      <c r="D179" t="s">
        <v>30</v>
      </c>
      <c r="E179" t="b">
        <f>LEN(TRIM(D179))=0</f>
        <v>0</v>
      </c>
      <c r="F179" t="b">
        <f>EXACT(D179,PROPER(D179))</f>
        <v>1</v>
      </c>
      <c r="G179">
        <v>57</v>
      </c>
      <c r="H179" t="b">
        <f>LEN(TRIM(G179))=0</f>
        <v>0</v>
      </c>
      <c r="I179" t="s">
        <v>32</v>
      </c>
      <c r="J179" t="b">
        <f>EXACT(I179,PROPER(I179))</f>
        <v>1</v>
      </c>
      <c r="K179" t="s">
        <v>35</v>
      </c>
      <c r="L179" t="str">
        <f>TRIM(K179)</f>
        <v>Marketing</v>
      </c>
      <c r="M179" t="b">
        <f>K179&lt;&gt;L179</f>
        <v>0</v>
      </c>
      <c r="N179">
        <v>147469.78</v>
      </c>
      <c r="O179" t="b">
        <f>LEN(TRIM(N179))=0</f>
        <v>0</v>
      </c>
      <c r="P179" t="b">
        <f>AND(N179&gt;0, N179&lt;1000000)</f>
        <v>1</v>
      </c>
      <c r="Q179" t="s">
        <v>192</v>
      </c>
      <c r="R179" s="2" t="b">
        <f>LEN(TRIM(Q179))=0</f>
        <v>0</v>
      </c>
      <c r="S179" s="2" t="str">
        <f>IF(RIGHT(TRIM(Q179),9)="gmail.com","OK","Typo")</f>
        <v>OK</v>
      </c>
      <c r="T179" s="2" t="str">
        <f>A179&amp;D179&amp;G179&amp;I179&amp;K179&amp;N179&amp;Q179</f>
        <v>BilalFemale57LahoreMarketing147469.78bilal47@gmail.com</v>
      </c>
      <c r="U179" s="2" t="b">
        <f>COUNTIF(T:T,T179)&gt;1</f>
        <v>0</v>
      </c>
    </row>
    <row r="180" spans="1:21">
      <c r="A180" t="s">
        <v>175</v>
      </c>
      <c r="B180" t="b">
        <f>LEN(TRIM(A180))=0</f>
        <v>0</v>
      </c>
      <c r="C180" t="b">
        <f>COUNTIF(A:A,A180)&gt;1</f>
        <v>1</v>
      </c>
      <c r="D180" t="s">
        <v>30</v>
      </c>
      <c r="E180" t="b">
        <f>LEN(TRIM(D180))=0</f>
        <v>0</v>
      </c>
      <c r="F180" t="b">
        <f>EXACT(D180,PROPER(D180))</f>
        <v>1</v>
      </c>
      <c r="G180">
        <v>34</v>
      </c>
      <c r="H180" t="b">
        <f>LEN(TRIM(G180))=0</f>
        <v>0</v>
      </c>
      <c r="I180" t="s">
        <v>23</v>
      </c>
      <c r="J180" t="b">
        <f>EXACT(I180,PROPER(I180))</f>
        <v>1</v>
      </c>
      <c r="K180" t="s">
        <v>35</v>
      </c>
      <c r="L180" t="str">
        <f>TRIM(K180)</f>
        <v>Marketing</v>
      </c>
      <c r="M180" t="b">
        <f>K180&lt;&gt;L180</f>
        <v>0</v>
      </c>
      <c r="N180">
        <v>119183.1</v>
      </c>
      <c r="O180" t="b">
        <f>LEN(TRIM(N180))=0</f>
        <v>0</v>
      </c>
      <c r="P180" t="b">
        <f>AND(N180&gt;0, N180&lt;1000000)</f>
        <v>1</v>
      </c>
      <c r="Q180" t="s">
        <v>193</v>
      </c>
      <c r="R180" s="2" t="b">
        <f>LEN(TRIM(Q180))=0</f>
        <v>0</v>
      </c>
      <c r="S180" s="2" t="str">
        <f>IF(RIGHT(TRIM(Q180),9)="gmail.com","OK","Typo")</f>
        <v>OK</v>
      </c>
      <c r="T180" s="2" t="str">
        <f>A180&amp;D180&amp;G180&amp;I180&amp;K180&amp;N180&amp;Q180</f>
        <v>BilalFemale34QuettaMarketing119183.1bilal49@gmail.com</v>
      </c>
      <c r="U180" s="2" t="b">
        <f>COUNTIF(T:T,T180)&gt;1</f>
        <v>0</v>
      </c>
    </row>
    <row r="181" spans="1:21">
      <c r="A181" t="s">
        <v>175</v>
      </c>
      <c r="B181" t="b">
        <f>LEN(TRIM(A181))=0</f>
        <v>0</v>
      </c>
      <c r="C181" t="b">
        <f>COUNTIF(A:A,A181)&gt;1</f>
        <v>1</v>
      </c>
      <c r="D181" t="s">
        <v>22</v>
      </c>
      <c r="E181" t="b">
        <f>LEN(TRIM(D181))=0</f>
        <v>0</v>
      </c>
      <c r="F181" t="b">
        <f>EXACT(D181,PROPER(D181))</f>
        <v>1</v>
      </c>
      <c r="G181">
        <v>55</v>
      </c>
      <c r="H181" t="b">
        <f>LEN(TRIM(G181))=0</f>
        <v>0</v>
      </c>
      <c r="I181" t="s">
        <v>32</v>
      </c>
      <c r="J181" t="b">
        <f>EXACT(I181,PROPER(I181))</f>
        <v>1</v>
      </c>
      <c r="K181" t="s">
        <v>42</v>
      </c>
      <c r="L181" t="str">
        <f>TRIM(K181)</f>
        <v>IT</v>
      </c>
      <c r="M181" t="b">
        <f>K181&lt;&gt;L181</f>
        <v>0</v>
      </c>
      <c r="N181">
        <v>78102.66</v>
      </c>
      <c r="O181" t="b">
        <f>LEN(TRIM(N181))=0</f>
        <v>0</v>
      </c>
      <c r="P181" t="b">
        <f>AND(N181&gt;0, N181&lt;1000000)</f>
        <v>1</v>
      </c>
      <c r="Q181" t="s">
        <v>194</v>
      </c>
      <c r="R181" s="2" t="b">
        <f>LEN(TRIM(Q181))=0</f>
        <v>0</v>
      </c>
      <c r="S181" s="2" t="str">
        <f>IF(RIGHT(TRIM(Q181),9)="gmail.com","OK","Typo")</f>
        <v>OK</v>
      </c>
      <c r="T181" s="2" t="str">
        <f>A181&amp;D181&amp;G181&amp;I181&amp;K181&amp;N181&amp;Q181</f>
        <v>BilalMale55LahoreIT78102.66bilal5@gmail.com</v>
      </c>
      <c r="U181" s="2" t="b">
        <f>COUNTIF(T:T,T181)&gt;1</f>
        <v>0</v>
      </c>
    </row>
    <row r="182" spans="1:21">
      <c r="A182" t="s">
        <v>175</v>
      </c>
      <c r="B182" t="b">
        <f>LEN(TRIM(A182))=0</f>
        <v>0</v>
      </c>
      <c r="C182" t="b">
        <f>COUNTIF(A:A,A182)&gt;1</f>
        <v>1</v>
      </c>
      <c r="D182" t="s">
        <v>22</v>
      </c>
      <c r="E182" t="b">
        <f>LEN(TRIM(D182))=0</f>
        <v>0</v>
      </c>
      <c r="F182" t="b">
        <f>EXACT(D182,PROPER(D182))</f>
        <v>1</v>
      </c>
      <c r="G182">
        <v>31</v>
      </c>
      <c r="H182" t="b">
        <f>LEN(TRIM(G182))=0</f>
        <v>0</v>
      </c>
      <c r="I182" t="s">
        <v>37</v>
      </c>
      <c r="J182" t="b">
        <f>EXACT(I182,PROPER(I182))</f>
        <v>1</v>
      </c>
      <c r="K182" t="s">
        <v>38</v>
      </c>
      <c r="L182" t="str">
        <f>TRIM(K182)</f>
        <v>Sales</v>
      </c>
      <c r="M182" t="b">
        <f>K182&lt;&gt;L182</f>
        <v>0</v>
      </c>
      <c r="N182">
        <v>135368.68</v>
      </c>
      <c r="O182" t="b">
        <f>LEN(TRIM(N182))=0</f>
        <v>0</v>
      </c>
      <c r="P182" t="b">
        <f>AND(N182&gt;0, N182&lt;1000000)</f>
        <v>1</v>
      </c>
      <c r="Q182" t="s">
        <v>195</v>
      </c>
      <c r="R182" s="2" t="b">
        <f>LEN(TRIM(Q182))=0</f>
        <v>0</v>
      </c>
      <c r="S182" s="2" t="str">
        <f>IF(RIGHT(TRIM(Q182),9)="gmail.com","OK","Typo")</f>
        <v>OK</v>
      </c>
      <c r="T182" s="2" t="str">
        <f>A182&amp;D182&amp;G182&amp;I182&amp;K182&amp;N182&amp;Q182</f>
        <v>BilalMale31IslamabadSales135368.68bilal51@gmail.com</v>
      </c>
      <c r="U182" s="2" t="b">
        <f>COUNTIF(T:T,T182)&gt;1</f>
        <v>0</v>
      </c>
    </row>
    <row r="183" spans="1:21">
      <c r="A183" t="s">
        <v>175</v>
      </c>
      <c r="B183" t="b">
        <f>LEN(TRIM(A183))=0</f>
        <v>0</v>
      </c>
      <c r="C183" t="b">
        <f>COUNTIF(A:A,A183)&gt;1</f>
        <v>1</v>
      </c>
      <c r="D183" t="s">
        <v>30</v>
      </c>
      <c r="E183" t="b">
        <f>LEN(TRIM(D183))=0</f>
        <v>0</v>
      </c>
      <c r="F183" t="b">
        <f>EXACT(D183,PROPER(D183))</f>
        <v>1</v>
      </c>
      <c r="H183" t="b">
        <f>LEN(TRIM(G183))=0</f>
        <v>1</v>
      </c>
      <c r="I183" t="s">
        <v>32</v>
      </c>
      <c r="J183" t="b">
        <f>EXACT(I183,PROPER(I183))</f>
        <v>1</v>
      </c>
      <c r="K183" t="s">
        <v>42</v>
      </c>
      <c r="L183" t="str">
        <f>TRIM(K183)</f>
        <v>IT</v>
      </c>
      <c r="M183" t="b">
        <f>K183&lt;&gt;L183</f>
        <v>0</v>
      </c>
      <c r="O183" t="b">
        <f>LEN(TRIM(N183))=0</f>
        <v>1</v>
      </c>
      <c r="P183" t="b">
        <f>AND(N183&gt;0, N183&lt;1000000)</f>
        <v>0</v>
      </c>
      <c r="Q183" t="s">
        <v>196</v>
      </c>
      <c r="R183" s="2" t="b">
        <f>LEN(TRIM(Q183))=0</f>
        <v>0</v>
      </c>
      <c r="S183" s="2" t="str">
        <f>IF(RIGHT(TRIM(Q183),9)="gmail.com","OK","Typo")</f>
        <v>OK</v>
      </c>
      <c r="T183" s="2" t="str">
        <f>A183&amp;D183&amp;G183&amp;I183&amp;K183&amp;N183&amp;Q183</f>
        <v>BilalFemaleLahoreITbilal55@gmail.com</v>
      </c>
      <c r="U183" s="2" t="b">
        <f>COUNTIF(T:T,T183)&gt;1</f>
        <v>0</v>
      </c>
    </row>
    <row r="184" spans="1:21">
      <c r="A184" t="s">
        <v>175</v>
      </c>
      <c r="B184" t="b">
        <f>LEN(TRIM(A184))=0</f>
        <v>0</v>
      </c>
      <c r="C184" t="b">
        <f>COUNTIF(A:A,A184)&gt;1</f>
        <v>1</v>
      </c>
      <c r="D184" t="s">
        <v>30</v>
      </c>
      <c r="E184" t="b">
        <f>LEN(TRIM(D184))=0</f>
        <v>0</v>
      </c>
      <c r="F184" t="b">
        <f>EXACT(D184,PROPER(D184))</f>
        <v>1</v>
      </c>
      <c r="H184" t="b">
        <f>LEN(TRIM(G184))=0</f>
        <v>1</v>
      </c>
      <c r="I184" t="s">
        <v>32</v>
      </c>
      <c r="J184" t="b">
        <f>EXACT(I184,PROPER(I184))</f>
        <v>1</v>
      </c>
      <c r="K184" t="s">
        <v>35</v>
      </c>
      <c r="L184" t="str">
        <f>TRIM(K184)</f>
        <v>Marketing</v>
      </c>
      <c r="M184" t="b">
        <f>K184&lt;&gt;L184</f>
        <v>0</v>
      </c>
      <c r="N184">
        <v>118228.22</v>
      </c>
      <c r="O184" t="b">
        <f>LEN(TRIM(N184))=0</f>
        <v>0</v>
      </c>
      <c r="P184" t="b">
        <f>AND(N184&gt;0, N184&lt;1000000)</f>
        <v>1</v>
      </c>
      <c r="Q184" t="s">
        <v>197</v>
      </c>
      <c r="R184" s="2" t="b">
        <f>LEN(TRIM(Q184))=0</f>
        <v>0</v>
      </c>
      <c r="S184" s="2" t="str">
        <f>IF(RIGHT(TRIM(Q184),9)="gmail.com","OK","Typo")</f>
        <v>OK</v>
      </c>
      <c r="T184" s="2" t="str">
        <f>A184&amp;D184&amp;G184&amp;I184&amp;K184&amp;N184&amp;Q184</f>
        <v>BilalFemaleLahoreMarketing118228.22bilal58@gmail.com</v>
      </c>
      <c r="U184" s="2" t="b">
        <f>COUNTIF(T:T,T184)&gt;1</f>
        <v>0</v>
      </c>
    </row>
    <row r="185" spans="1:21">
      <c r="A185" t="s">
        <v>175</v>
      </c>
      <c r="B185" t="b">
        <f>LEN(TRIM(A185))=0</f>
        <v>0</v>
      </c>
      <c r="C185" t="b">
        <f>COUNTIF(A:A,A185)&gt;1</f>
        <v>1</v>
      </c>
      <c r="D185" t="s">
        <v>30</v>
      </c>
      <c r="E185" t="b">
        <f>LEN(TRIM(D185))=0</f>
        <v>0</v>
      </c>
      <c r="F185" t="b">
        <f>EXACT(D185,PROPER(D185))</f>
        <v>1</v>
      </c>
      <c r="G185">
        <v>57</v>
      </c>
      <c r="H185" t="b">
        <f>LEN(TRIM(G185))=0</f>
        <v>0</v>
      </c>
      <c r="I185" t="s">
        <v>28</v>
      </c>
      <c r="J185" t="b">
        <f>EXACT(I185,PROPER(I185))</f>
        <v>1</v>
      </c>
      <c r="K185" t="s">
        <v>24</v>
      </c>
      <c r="L185" t="str">
        <f>TRIM(K185)</f>
        <v>HR</v>
      </c>
      <c r="M185" t="b">
        <f>K185&lt;&gt;L185</f>
        <v>0</v>
      </c>
      <c r="N185">
        <v>76401.87</v>
      </c>
      <c r="O185" t="b">
        <f>LEN(TRIM(N185))=0</f>
        <v>0</v>
      </c>
      <c r="P185" t="b">
        <f>AND(N185&gt;0, N185&lt;1000000)</f>
        <v>1</v>
      </c>
      <c r="Q185" t="s">
        <v>198</v>
      </c>
      <c r="R185" s="2" t="b">
        <f>LEN(TRIM(Q185))=0</f>
        <v>0</v>
      </c>
      <c r="S185" s="2" t="str">
        <f>IF(RIGHT(TRIM(Q185),9)="gmail.com","OK","Typo")</f>
        <v>OK</v>
      </c>
      <c r="T185" s="2" t="str">
        <f>A185&amp;D185&amp;G185&amp;I185&amp;K185&amp;N185&amp;Q185</f>
        <v>BilalFemale57KarachiHR76401.87bilal59@gmail.com</v>
      </c>
      <c r="U185" s="2" t="b">
        <f>COUNTIF(T:T,T185)&gt;1</f>
        <v>0</v>
      </c>
    </row>
    <row r="186" spans="1:21">
      <c r="A186" t="s">
        <v>175</v>
      </c>
      <c r="B186" t="b">
        <f>LEN(TRIM(A186))=0</f>
        <v>0</v>
      </c>
      <c r="C186" t="b">
        <f>COUNTIF(A:A,A186)&gt;1</f>
        <v>1</v>
      </c>
      <c r="D186" t="s">
        <v>30</v>
      </c>
      <c r="E186" t="b">
        <f>LEN(TRIM(D186))=0</f>
        <v>0</v>
      </c>
      <c r="F186" t="b">
        <f>EXACT(D186,PROPER(D186))</f>
        <v>1</v>
      </c>
      <c r="G186">
        <v>27</v>
      </c>
      <c r="H186" t="b">
        <f>LEN(TRIM(G186))=0</f>
        <v>0</v>
      </c>
      <c r="I186" t="s">
        <v>52</v>
      </c>
      <c r="J186" t="b">
        <f>EXACT(I186,PROPER(I186))</f>
        <v>0</v>
      </c>
      <c r="K186" t="s">
        <v>42</v>
      </c>
      <c r="L186" t="str">
        <f>TRIM(K186)</f>
        <v>IT</v>
      </c>
      <c r="M186" t="b">
        <f>K186&lt;&gt;L186</f>
        <v>0</v>
      </c>
      <c r="O186" t="b">
        <f>LEN(TRIM(N186))=0</f>
        <v>1</v>
      </c>
      <c r="P186" t="b">
        <f>AND(N186&gt;0, N186&lt;1000000)</f>
        <v>0</v>
      </c>
      <c r="Q186" t="s">
        <v>199</v>
      </c>
      <c r="R186" s="2" t="b">
        <f>LEN(TRIM(Q186))=0</f>
        <v>0</v>
      </c>
      <c r="S186" s="2" t="str">
        <f>IF(RIGHT(TRIM(Q186),9)="gmail.com","OK","Typo")</f>
        <v>OK</v>
      </c>
      <c r="T186" s="2" t="str">
        <f>A186&amp;D186&amp;G186&amp;I186&amp;K186&amp;N186&amp;Q186</f>
        <v>BilalFemale27lahoreITbilal64@gmail.com</v>
      </c>
      <c r="U186" s="2" t="b">
        <f>COUNTIF(T:T,T186)&gt;1</f>
        <v>0</v>
      </c>
    </row>
    <row r="187" spans="1:21">
      <c r="A187" t="s">
        <v>175</v>
      </c>
      <c r="B187" t="b">
        <f>LEN(TRIM(A187))=0</f>
        <v>0</v>
      </c>
      <c r="C187" t="b">
        <f>COUNTIF(A:A,A187)&gt;1</f>
        <v>1</v>
      </c>
      <c r="D187" t="s">
        <v>22</v>
      </c>
      <c r="E187" t="b">
        <f>LEN(TRIM(D187))=0</f>
        <v>0</v>
      </c>
      <c r="F187" t="b">
        <f>EXACT(D187,PROPER(D187))</f>
        <v>1</v>
      </c>
      <c r="H187" t="b">
        <f>LEN(TRIM(G187))=0</f>
        <v>1</v>
      </c>
      <c r="I187" t="s">
        <v>37</v>
      </c>
      <c r="J187" t="b">
        <f>EXACT(I187,PROPER(I187))</f>
        <v>1</v>
      </c>
      <c r="K187" t="s">
        <v>35</v>
      </c>
      <c r="L187" t="str">
        <f>TRIM(K187)</f>
        <v>Marketing</v>
      </c>
      <c r="M187" t="b">
        <f>K187&lt;&gt;L187</f>
        <v>0</v>
      </c>
      <c r="O187" t="b">
        <f>LEN(TRIM(N187))=0</f>
        <v>1</v>
      </c>
      <c r="P187" t="b">
        <f>AND(N187&gt;0, N187&lt;1000000)</f>
        <v>0</v>
      </c>
      <c r="Q187" t="s">
        <v>199</v>
      </c>
      <c r="R187" s="2" t="b">
        <f>LEN(TRIM(Q187))=0</f>
        <v>0</v>
      </c>
      <c r="S187" s="2" t="str">
        <f>IF(RIGHT(TRIM(Q187),9)="gmail.com","OK","Typo")</f>
        <v>OK</v>
      </c>
      <c r="T187" s="2" t="str">
        <f>A187&amp;D187&amp;G187&amp;I187&amp;K187&amp;N187&amp;Q187</f>
        <v>BilalMaleIslamabadMarketingbilal64@gmail.com</v>
      </c>
      <c r="U187" s="2" t="b">
        <f>COUNTIF(T:T,T187)&gt;1</f>
        <v>0</v>
      </c>
    </row>
    <row r="188" spans="1:21">
      <c r="A188" t="s">
        <v>175</v>
      </c>
      <c r="B188" t="b">
        <f>LEN(TRIM(A188))=0</f>
        <v>0</v>
      </c>
      <c r="C188" t="b">
        <f>COUNTIF(A:A,A188)&gt;1</f>
        <v>1</v>
      </c>
      <c r="D188" t="s">
        <v>22</v>
      </c>
      <c r="E188" t="b">
        <f>LEN(TRIM(D188))=0</f>
        <v>0</v>
      </c>
      <c r="F188" t="b">
        <f>EXACT(D188,PROPER(D188))</f>
        <v>1</v>
      </c>
      <c r="G188">
        <v>31</v>
      </c>
      <c r="H188" t="b">
        <f>LEN(TRIM(G188))=0</f>
        <v>0</v>
      </c>
      <c r="I188" t="s">
        <v>23</v>
      </c>
      <c r="J188" t="b">
        <f>EXACT(I188,PROPER(I188))</f>
        <v>1</v>
      </c>
      <c r="K188" t="s">
        <v>42</v>
      </c>
      <c r="L188" t="str">
        <f>TRIM(K188)</f>
        <v>IT</v>
      </c>
      <c r="M188" t="b">
        <f>K188&lt;&gt;L188</f>
        <v>0</v>
      </c>
      <c r="N188">
        <v>141748.93</v>
      </c>
      <c r="O188" t="b">
        <f>LEN(TRIM(N188))=0</f>
        <v>0</v>
      </c>
      <c r="P188" t="b">
        <f>AND(N188&gt;0, N188&lt;1000000)</f>
        <v>1</v>
      </c>
      <c r="Q188" t="s">
        <v>200</v>
      </c>
      <c r="R188" s="2" t="b">
        <f>LEN(TRIM(Q188))=0</f>
        <v>0</v>
      </c>
      <c r="S188" s="2" t="str">
        <f>IF(RIGHT(TRIM(Q188),9)="gmail.com","OK","Typo")</f>
        <v>OK</v>
      </c>
      <c r="T188" s="2" t="str">
        <f>A188&amp;D188&amp;G188&amp;I188&amp;K188&amp;N188&amp;Q188</f>
        <v>BilalMale31QuettaIT141748.93bilal66@gmail.com</v>
      </c>
      <c r="U188" s="2" t="b">
        <f>COUNTIF(T:T,T188)&gt;1</f>
        <v>0</v>
      </c>
    </row>
    <row r="189" spans="1:21">
      <c r="A189" t="s">
        <v>175</v>
      </c>
      <c r="B189" t="b">
        <f>LEN(TRIM(A189))=0</f>
        <v>0</v>
      </c>
      <c r="C189" t="b">
        <f>COUNTIF(A:A,A189)&gt;1</f>
        <v>1</v>
      </c>
      <c r="D189" t="s">
        <v>22</v>
      </c>
      <c r="E189" t="b">
        <f>LEN(TRIM(D189))=0</f>
        <v>0</v>
      </c>
      <c r="F189" t="b">
        <f>EXACT(D189,PROPER(D189))</f>
        <v>1</v>
      </c>
      <c r="G189">
        <v>23</v>
      </c>
      <c r="H189" t="b">
        <f>LEN(TRIM(G189))=0</f>
        <v>0</v>
      </c>
      <c r="I189" t="s">
        <v>37</v>
      </c>
      <c r="J189" t="b">
        <f>EXACT(I189,PROPER(I189))</f>
        <v>1</v>
      </c>
      <c r="K189" t="s">
        <v>42</v>
      </c>
      <c r="L189" t="str">
        <f>TRIM(K189)</f>
        <v>IT</v>
      </c>
      <c r="M189" t="b">
        <f>K189&lt;&gt;L189</f>
        <v>0</v>
      </c>
      <c r="O189" t="b">
        <f>LEN(TRIM(N189))=0</f>
        <v>1</v>
      </c>
      <c r="P189" t="b">
        <f>AND(N189&gt;0, N189&lt;1000000)</f>
        <v>0</v>
      </c>
      <c r="Q189" t="s">
        <v>201</v>
      </c>
      <c r="R189" s="2" t="b">
        <f>LEN(TRIM(Q189))=0</f>
        <v>0</v>
      </c>
      <c r="S189" s="2" t="str">
        <f>IF(RIGHT(TRIM(Q189),9)="gmail.com","OK","Typo")</f>
        <v>OK</v>
      </c>
      <c r="T189" s="2" t="str">
        <f>A189&amp;D189&amp;G189&amp;I189&amp;K189&amp;N189&amp;Q189</f>
        <v>BilalMale23IslamabadITbilal68@gmail.com</v>
      </c>
      <c r="U189" s="2" t="b">
        <f>COUNTIF(T:T,T189)&gt;1</f>
        <v>0</v>
      </c>
    </row>
    <row r="190" spans="1:21">
      <c r="A190" t="s">
        <v>175</v>
      </c>
      <c r="B190" t="b">
        <f>LEN(TRIM(A190))=0</f>
        <v>0</v>
      </c>
      <c r="C190" t="b">
        <f>COUNTIF(A:A,A190)&gt;1</f>
        <v>1</v>
      </c>
      <c r="D190" t="s">
        <v>22</v>
      </c>
      <c r="E190" t="b">
        <f>LEN(TRIM(D190))=0</f>
        <v>0</v>
      </c>
      <c r="F190" t="b">
        <f>EXACT(D190,PROPER(D190))</f>
        <v>1</v>
      </c>
      <c r="H190" t="b">
        <f>LEN(TRIM(G190))=0</f>
        <v>1</v>
      </c>
      <c r="I190" t="s">
        <v>32</v>
      </c>
      <c r="J190" t="b">
        <f>EXACT(I190,PROPER(I190))</f>
        <v>1</v>
      </c>
      <c r="K190" t="s">
        <v>24</v>
      </c>
      <c r="L190" t="str">
        <f>TRIM(K190)</f>
        <v>HR</v>
      </c>
      <c r="M190" t="b">
        <f>K190&lt;&gt;L190</f>
        <v>0</v>
      </c>
      <c r="N190">
        <v>129295.1</v>
      </c>
      <c r="O190" t="b">
        <f>LEN(TRIM(N190))=0</f>
        <v>0</v>
      </c>
      <c r="P190" t="b">
        <f>AND(N190&gt;0, N190&lt;1000000)</f>
        <v>1</v>
      </c>
      <c r="Q190" t="s">
        <v>202</v>
      </c>
      <c r="R190" s="2" t="b">
        <f>LEN(TRIM(Q190))=0</f>
        <v>0</v>
      </c>
      <c r="S190" s="2" t="str">
        <f>IF(RIGHT(TRIM(Q190),9)="gmail.com","OK","Typo")</f>
        <v>OK</v>
      </c>
      <c r="T190" s="2" t="str">
        <f>A190&amp;D190&amp;G190&amp;I190&amp;K190&amp;N190&amp;Q190</f>
        <v>BilalMaleLahoreHR129295.1bilal69@gmail.com</v>
      </c>
      <c r="U190" s="2" t="b">
        <f>COUNTIF(T:T,T190)&gt;1</f>
        <v>0</v>
      </c>
    </row>
    <row r="191" spans="1:21">
      <c r="A191" t="s">
        <v>175</v>
      </c>
      <c r="B191" t="b">
        <f>LEN(TRIM(A191))=0</f>
        <v>0</v>
      </c>
      <c r="C191" t="b">
        <f>COUNTIF(A:A,A191)&gt;1</f>
        <v>1</v>
      </c>
      <c r="D191" t="s">
        <v>22</v>
      </c>
      <c r="E191" t="b">
        <f>LEN(TRIM(D191))=0</f>
        <v>0</v>
      </c>
      <c r="F191" t="b">
        <f>EXACT(D191,PROPER(D191))</f>
        <v>1</v>
      </c>
      <c r="H191" t="b">
        <f>LEN(TRIM(G191))=0</f>
        <v>1</v>
      </c>
      <c r="I191" t="s">
        <v>37</v>
      </c>
      <c r="J191" t="b">
        <f>EXACT(I191,PROPER(I191))</f>
        <v>1</v>
      </c>
      <c r="K191" t="s">
        <v>42</v>
      </c>
      <c r="L191" t="str">
        <f>TRIM(K191)</f>
        <v>IT</v>
      </c>
      <c r="M191" t="b">
        <f>K191&lt;&gt;L191</f>
        <v>0</v>
      </c>
      <c r="O191" t="b">
        <f>LEN(TRIM(N191))=0</f>
        <v>1</v>
      </c>
      <c r="P191" t="b">
        <f>AND(N191&gt;0, N191&lt;1000000)</f>
        <v>0</v>
      </c>
      <c r="Q191" t="s">
        <v>202</v>
      </c>
      <c r="R191" s="2" t="b">
        <f>LEN(TRIM(Q191))=0</f>
        <v>0</v>
      </c>
      <c r="S191" s="2" t="str">
        <f>IF(RIGHT(TRIM(Q191),9)="gmail.com","OK","Typo")</f>
        <v>OK</v>
      </c>
      <c r="T191" s="2" t="str">
        <f>A191&amp;D191&amp;G191&amp;I191&amp;K191&amp;N191&amp;Q191</f>
        <v>BilalMaleIslamabadITbilal69@gmail.com</v>
      </c>
      <c r="U191" s="2" t="b">
        <f>COUNTIF(T:T,T191)&gt;1</f>
        <v>0</v>
      </c>
    </row>
    <row r="192" spans="1:21">
      <c r="A192" t="s">
        <v>175</v>
      </c>
      <c r="B192" t="b">
        <f>LEN(TRIM(A192))=0</f>
        <v>0</v>
      </c>
      <c r="C192" t="b">
        <f>COUNTIF(A:A,A192)&gt;1</f>
        <v>1</v>
      </c>
      <c r="D192" t="s">
        <v>22</v>
      </c>
      <c r="E192" t="b">
        <f>LEN(TRIM(D192))=0</f>
        <v>0</v>
      </c>
      <c r="F192" t="b">
        <f>EXACT(D192,PROPER(D192))</f>
        <v>1</v>
      </c>
      <c r="H192" t="b">
        <f>LEN(TRIM(G192))=0</f>
        <v>1</v>
      </c>
      <c r="I192" t="s">
        <v>23</v>
      </c>
      <c r="J192" t="b">
        <f>EXACT(I192,PROPER(I192))</f>
        <v>1</v>
      </c>
      <c r="K192" t="s">
        <v>42</v>
      </c>
      <c r="L192" t="str">
        <f>TRIM(K192)</f>
        <v>IT</v>
      </c>
      <c r="M192" t="b">
        <f>K192&lt;&gt;L192</f>
        <v>0</v>
      </c>
      <c r="N192">
        <v>149944.07</v>
      </c>
      <c r="O192" t="b">
        <f>LEN(TRIM(N192))=0</f>
        <v>0</v>
      </c>
      <c r="P192" t="b">
        <f>AND(N192&gt;0, N192&lt;1000000)</f>
        <v>1</v>
      </c>
      <c r="Q192" t="s">
        <v>203</v>
      </c>
      <c r="R192" s="2" t="b">
        <f>LEN(TRIM(Q192))=0</f>
        <v>0</v>
      </c>
      <c r="S192" s="2" t="str">
        <f>IF(RIGHT(TRIM(Q192),9)="gmail.com","OK","Typo")</f>
        <v>OK</v>
      </c>
      <c r="T192" s="2" t="str">
        <f>A192&amp;D192&amp;G192&amp;I192&amp;K192&amp;N192&amp;Q192</f>
        <v>BilalMaleQuettaIT149944.07bilal71@gmail.com</v>
      </c>
      <c r="U192" s="2" t="b">
        <f>COUNTIF(T:T,T192)&gt;1</f>
        <v>0</v>
      </c>
    </row>
    <row r="193" spans="1:21">
      <c r="A193" t="s">
        <v>175</v>
      </c>
      <c r="B193" t="b">
        <f>LEN(TRIM(A193))=0</f>
        <v>0</v>
      </c>
      <c r="C193" t="b">
        <f>COUNTIF(A:A,A193)&gt;1</f>
        <v>1</v>
      </c>
      <c r="D193" t="s">
        <v>30</v>
      </c>
      <c r="E193" t="b">
        <f>LEN(TRIM(D193))=0</f>
        <v>0</v>
      </c>
      <c r="F193" t="b">
        <f>EXACT(D193,PROPER(D193))</f>
        <v>1</v>
      </c>
      <c r="G193">
        <v>35</v>
      </c>
      <c r="H193" t="b">
        <f>LEN(TRIM(G193))=0</f>
        <v>0</v>
      </c>
      <c r="I193" t="s">
        <v>37</v>
      </c>
      <c r="J193" t="b">
        <f>EXACT(I193,PROPER(I193))</f>
        <v>1</v>
      </c>
      <c r="K193" t="s">
        <v>47</v>
      </c>
      <c r="L193" t="str">
        <f>TRIM(K193)</f>
        <v>Sales</v>
      </c>
      <c r="M193" t="b">
        <f>K193&lt;&gt;L193</f>
        <v>1</v>
      </c>
      <c r="N193">
        <v>27972.01</v>
      </c>
      <c r="O193" t="b">
        <f>LEN(TRIM(N193))=0</f>
        <v>0</v>
      </c>
      <c r="P193" t="b">
        <f>AND(N193&gt;0, N193&lt;1000000)</f>
        <v>1</v>
      </c>
      <c r="Q193" t="s">
        <v>204</v>
      </c>
      <c r="R193" s="2" t="b">
        <f>LEN(TRIM(Q193))=0</f>
        <v>0</v>
      </c>
      <c r="S193" s="2" t="str">
        <f>IF(RIGHT(TRIM(Q193),9)="gmail.com","OK","Typo")</f>
        <v>OK</v>
      </c>
      <c r="T193" s="2" t="str">
        <f>A193&amp;D193&amp;G193&amp;I193&amp;K193&amp;N193&amp;Q193</f>
        <v>BilalFemale35Islamabad Sales 27972.01bilal72@gmail.com</v>
      </c>
      <c r="U193" s="2" t="b">
        <f>COUNTIF(T:T,T193)&gt;1</f>
        <v>0</v>
      </c>
    </row>
    <row r="194" spans="1:21">
      <c r="A194" t="s">
        <v>175</v>
      </c>
      <c r="B194" t="b">
        <f>LEN(TRIM(A194))=0</f>
        <v>0</v>
      </c>
      <c r="C194" t="b">
        <f>COUNTIF(A:A,A194)&gt;1</f>
        <v>1</v>
      </c>
      <c r="D194" t="s">
        <v>30</v>
      </c>
      <c r="E194" t="b">
        <f>LEN(TRIM(D194))=0</f>
        <v>0</v>
      </c>
      <c r="F194" t="b">
        <f>EXACT(D194,PROPER(D194))</f>
        <v>1</v>
      </c>
      <c r="H194" t="b">
        <f>LEN(TRIM(G194))=0</f>
        <v>1</v>
      </c>
      <c r="I194" t="s">
        <v>37</v>
      </c>
      <c r="J194" t="b">
        <f>EXACT(I194,PROPER(I194))</f>
        <v>1</v>
      </c>
      <c r="K194" t="s">
        <v>29</v>
      </c>
      <c r="L194" t="str">
        <f>TRIM(K194)</f>
        <v>Finance</v>
      </c>
      <c r="M194" t="b">
        <f>K194&lt;&gt;L194</f>
        <v>0</v>
      </c>
      <c r="N194">
        <v>115243.69</v>
      </c>
      <c r="O194" t="b">
        <f>LEN(TRIM(N194))=0</f>
        <v>0</v>
      </c>
      <c r="P194" t="b">
        <f>AND(N194&gt;0, N194&lt;1000000)</f>
        <v>1</v>
      </c>
      <c r="Q194" t="s">
        <v>205</v>
      </c>
      <c r="R194" s="2" t="b">
        <f>LEN(TRIM(Q194))=0</f>
        <v>0</v>
      </c>
      <c r="S194" s="2" t="str">
        <f>IF(RIGHT(TRIM(Q194),9)="gmail.com","OK","Typo")</f>
        <v>OK</v>
      </c>
      <c r="T194" s="2" t="str">
        <f>A194&amp;D194&amp;G194&amp;I194&amp;K194&amp;N194&amp;Q194</f>
        <v>BilalFemaleIslamabadFinance115243.69bilal74@gmail.com</v>
      </c>
      <c r="U194" s="2" t="b">
        <f>COUNTIF(T:T,T194)&gt;1</f>
        <v>0</v>
      </c>
    </row>
    <row r="195" spans="1:21">
      <c r="A195" t="s">
        <v>175</v>
      </c>
      <c r="B195" t="b">
        <f>LEN(TRIM(A195))=0</f>
        <v>0</v>
      </c>
      <c r="C195" t="b">
        <f>COUNTIF(A:A,A195)&gt;1</f>
        <v>1</v>
      </c>
      <c r="D195" t="s">
        <v>30</v>
      </c>
      <c r="E195" t="b">
        <f>LEN(TRIM(D195))=0</f>
        <v>0</v>
      </c>
      <c r="F195" t="b">
        <f>EXACT(D195,PROPER(D195))</f>
        <v>1</v>
      </c>
      <c r="H195" t="b">
        <f>LEN(TRIM(G195))=0</f>
        <v>1</v>
      </c>
      <c r="I195" t="s">
        <v>37</v>
      </c>
      <c r="J195" t="b">
        <f>EXACT(I195,PROPER(I195))</f>
        <v>1</v>
      </c>
      <c r="K195" t="s">
        <v>29</v>
      </c>
      <c r="L195" t="str">
        <f>TRIM(K195)</f>
        <v>Finance</v>
      </c>
      <c r="M195" t="b">
        <f>K195&lt;&gt;L195</f>
        <v>0</v>
      </c>
      <c r="O195" t="b">
        <f>LEN(TRIM(N195))=0</f>
        <v>1</v>
      </c>
      <c r="P195" t="b">
        <f>AND(N195&gt;0, N195&lt;1000000)</f>
        <v>0</v>
      </c>
      <c r="Q195" t="s">
        <v>206</v>
      </c>
      <c r="R195" s="2" t="b">
        <f>LEN(TRIM(Q195))=0</f>
        <v>0</v>
      </c>
      <c r="S195" s="2" t="str">
        <f>IF(RIGHT(TRIM(Q195),9)="gmail.com","OK","Typo")</f>
        <v>OK</v>
      </c>
      <c r="T195" s="2" t="str">
        <f>A195&amp;D195&amp;G195&amp;I195&amp;K195&amp;N195&amp;Q195</f>
        <v>BilalFemaleIslamabadFinancebilal76@gmail.com</v>
      </c>
      <c r="U195" s="2" t="b">
        <f>COUNTIF(T:T,T195)&gt;1</f>
        <v>0</v>
      </c>
    </row>
    <row r="196" spans="1:21">
      <c r="A196" t="s">
        <v>175</v>
      </c>
      <c r="B196" t="b">
        <f>LEN(TRIM(A196))=0</f>
        <v>0</v>
      </c>
      <c r="C196" t="b">
        <f>COUNTIF(A:A,A196)&gt;1</f>
        <v>1</v>
      </c>
      <c r="D196" t="s">
        <v>22</v>
      </c>
      <c r="E196" t="b">
        <f>LEN(TRIM(D196))=0</f>
        <v>0</v>
      </c>
      <c r="F196" t="b">
        <f>EXACT(D196,PROPER(D196))</f>
        <v>1</v>
      </c>
      <c r="G196">
        <v>20</v>
      </c>
      <c r="H196" t="b">
        <f>LEN(TRIM(G196))=0</f>
        <v>0</v>
      </c>
      <c r="I196" t="s">
        <v>37</v>
      </c>
      <c r="J196" t="b">
        <f>EXACT(I196,PROPER(I196))</f>
        <v>1</v>
      </c>
      <c r="K196" t="s">
        <v>29</v>
      </c>
      <c r="L196" t="str">
        <f>TRIM(K196)</f>
        <v>Finance</v>
      </c>
      <c r="M196" t="b">
        <f>K196&lt;&gt;L196</f>
        <v>0</v>
      </c>
      <c r="O196" t="b">
        <f>LEN(TRIM(N196))=0</f>
        <v>1</v>
      </c>
      <c r="P196" t="b">
        <f>AND(N196&gt;0, N196&lt;1000000)</f>
        <v>0</v>
      </c>
      <c r="Q196" t="s">
        <v>207</v>
      </c>
      <c r="R196" s="2" t="b">
        <f>LEN(TRIM(Q196))=0</f>
        <v>0</v>
      </c>
      <c r="S196" s="2" t="str">
        <f>IF(RIGHT(TRIM(Q196),9)="gmail.com","OK","Typo")</f>
        <v>OK</v>
      </c>
      <c r="T196" s="2" t="str">
        <f>A196&amp;D196&amp;G196&amp;I196&amp;K196&amp;N196&amp;Q196</f>
        <v>BilalMale20IslamabadFinancebilal78@gmail.com</v>
      </c>
      <c r="U196" s="2" t="b">
        <f>COUNTIF(T:T,T196)&gt;1</f>
        <v>0</v>
      </c>
    </row>
    <row r="197" spans="1:21">
      <c r="A197" t="s">
        <v>175</v>
      </c>
      <c r="B197" t="b">
        <f>LEN(TRIM(A197))=0</f>
        <v>0</v>
      </c>
      <c r="C197" t="b">
        <f>COUNTIF(A:A,A197)&gt;1</f>
        <v>1</v>
      </c>
      <c r="D197" t="s">
        <v>22</v>
      </c>
      <c r="E197" t="b">
        <f>LEN(TRIM(D197))=0</f>
        <v>0</v>
      </c>
      <c r="F197" t="b">
        <f>EXACT(D197,PROPER(D197))</f>
        <v>1</v>
      </c>
      <c r="H197" t="b">
        <f>LEN(TRIM(G197))=0</f>
        <v>1</v>
      </c>
      <c r="I197" t="s">
        <v>23</v>
      </c>
      <c r="J197" t="b">
        <f>EXACT(I197,PROPER(I197))</f>
        <v>1</v>
      </c>
      <c r="K197" t="s">
        <v>42</v>
      </c>
      <c r="L197" t="str">
        <f>TRIM(K197)</f>
        <v>IT</v>
      </c>
      <c r="M197" t="b">
        <f>K197&lt;&gt;L197</f>
        <v>0</v>
      </c>
      <c r="O197" t="b">
        <f>LEN(TRIM(N197))=0</f>
        <v>1</v>
      </c>
      <c r="P197" t="b">
        <f>AND(N197&gt;0, N197&lt;1000000)</f>
        <v>0</v>
      </c>
      <c r="Q197" t="s">
        <v>207</v>
      </c>
      <c r="R197" s="2" t="b">
        <f>LEN(TRIM(Q197))=0</f>
        <v>0</v>
      </c>
      <c r="S197" s="2" t="str">
        <f>IF(RIGHT(TRIM(Q197),9)="gmail.com","OK","Typo")</f>
        <v>OK</v>
      </c>
      <c r="T197" s="2" t="str">
        <f>A197&amp;D197&amp;G197&amp;I197&amp;K197&amp;N197&amp;Q197</f>
        <v>BilalMaleQuettaITbilal78@gmail.com</v>
      </c>
      <c r="U197" s="2" t="b">
        <f>COUNTIF(T:T,T197)&gt;1</f>
        <v>0</v>
      </c>
    </row>
    <row r="198" spans="1:21">
      <c r="A198" t="s">
        <v>175</v>
      </c>
      <c r="B198" t="b">
        <f>LEN(TRIM(A198))=0</f>
        <v>0</v>
      </c>
      <c r="C198" t="b">
        <f>COUNTIF(A:A,A198)&gt;1</f>
        <v>1</v>
      </c>
      <c r="D198" t="s">
        <v>30</v>
      </c>
      <c r="E198" t="b">
        <f>LEN(TRIM(D198))=0</f>
        <v>0</v>
      </c>
      <c r="F198" t="b">
        <f>EXACT(D198,PROPER(D198))</f>
        <v>1</v>
      </c>
      <c r="H198" t="b">
        <f>LEN(TRIM(G198))=0</f>
        <v>1</v>
      </c>
      <c r="I198" t="s">
        <v>45</v>
      </c>
      <c r="J198" t="b">
        <f>EXACT(I198,PROPER(I198))</f>
        <v>1</v>
      </c>
      <c r="K198" t="s">
        <v>38</v>
      </c>
      <c r="L198" t="str">
        <f>TRIM(K198)</f>
        <v>Sales</v>
      </c>
      <c r="M198" t="b">
        <f>K198&lt;&gt;L198</f>
        <v>0</v>
      </c>
      <c r="O198" t="b">
        <f>LEN(TRIM(N198))=0</f>
        <v>1</v>
      </c>
      <c r="P198" t="b">
        <f>AND(N198&gt;0, N198&lt;1000000)</f>
        <v>0</v>
      </c>
      <c r="Q198" t="s">
        <v>208</v>
      </c>
      <c r="R198" s="2" t="b">
        <f>LEN(TRIM(Q198))=0</f>
        <v>0</v>
      </c>
      <c r="S198" s="2" t="str">
        <f>IF(RIGHT(TRIM(Q198),9)="gmail.com","OK","Typo")</f>
        <v>OK</v>
      </c>
      <c r="T198" s="2" t="str">
        <f>A198&amp;D198&amp;G198&amp;I198&amp;K198&amp;N198&amp;Q198</f>
        <v>BilalFemalePeshawarSalesbilal8@gmail.com</v>
      </c>
      <c r="U198" s="2" t="b">
        <f>COUNTIF(T:T,T198)&gt;1</f>
        <v>0</v>
      </c>
    </row>
    <row r="199" spans="1:21">
      <c r="A199" t="s">
        <v>175</v>
      </c>
      <c r="B199" t="b">
        <f>LEN(TRIM(A199))=0</f>
        <v>0</v>
      </c>
      <c r="C199" t="b">
        <f>COUNTIF(A:A,A199)&gt;1</f>
        <v>1</v>
      </c>
      <c r="D199" t="s">
        <v>30</v>
      </c>
      <c r="E199" t="b">
        <f>LEN(TRIM(D199))=0</f>
        <v>0</v>
      </c>
      <c r="F199" t="b">
        <f>EXACT(D199,PROPER(D199))</f>
        <v>1</v>
      </c>
      <c r="H199" t="b">
        <f>LEN(TRIM(G199))=0</f>
        <v>1</v>
      </c>
      <c r="I199" t="s">
        <v>37</v>
      </c>
      <c r="J199" t="b">
        <f>EXACT(I199,PROPER(I199))</f>
        <v>1</v>
      </c>
      <c r="K199" t="s">
        <v>29</v>
      </c>
      <c r="L199" t="str">
        <f>TRIM(K199)</f>
        <v>Finance</v>
      </c>
      <c r="M199" t="b">
        <f>K199&lt;&gt;L199</f>
        <v>0</v>
      </c>
      <c r="O199" t="b">
        <f>LEN(TRIM(N199))=0</f>
        <v>1</v>
      </c>
      <c r="P199" t="b">
        <f>AND(N199&gt;0, N199&lt;1000000)</f>
        <v>0</v>
      </c>
      <c r="Q199" t="s">
        <v>209</v>
      </c>
      <c r="R199" s="2" t="b">
        <f>LEN(TRIM(Q199))=0</f>
        <v>0</v>
      </c>
      <c r="S199" s="2" t="str">
        <f>IF(RIGHT(TRIM(Q199),9)="gmail.com","OK","Typo")</f>
        <v>OK</v>
      </c>
      <c r="T199" s="2" t="str">
        <f>A199&amp;D199&amp;G199&amp;I199&amp;K199&amp;N199&amp;Q199</f>
        <v>BilalFemaleIslamabadFinancebilal81@gmail.com</v>
      </c>
      <c r="U199" s="2" t="b">
        <f>COUNTIF(T:T,T199)&gt;1</f>
        <v>0</v>
      </c>
    </row>
    <row r="200" spans="1:21">
      <c r="A200" t="s">
        <v>175</v>
      </c>
      <c r="B200" t="b">
        <f>LEN(TRIM(A200))=0</f>
        <v>0</v>
      </c>
      <c r="C200" t="b">
        <f>COUNTIF(A:A,A200)&gt;1</f>
        <v>1</v>
      </c>
      <c r="D200" t="s">
        <v>22</v>
      </c>
      <c r="E200" t="b">
        <f>LEN(TRIM(D200))=0</f>
        <v>0</v>
      </c>
      <c r="F200" t="b">
        <f>EXACT(D200,PROPER(D200))</f>
        <v>1</v>
      </c>
      <c r="G200">
        <v>47</v>
      </c>
      <c r="H200" t="b">
        <f>LEN(TRIM(G200))=0</f>
        <v>0</v>
      </c>
      <c r="I200" t="s">
        <v>23</v>
      </c>
      <c r="J200" t="b">
        <f>EXACT(I200,PROPER(I200))</f>
        <v>1</v>
      </c>
      <c r="K200" t="s">
        <v>38</v>
      </c>
      <c r="L200" t="str">
        <f>TRIM(K200)</f>
        <v>Sales</v>
      </c>
      <c r="M200" t="b">
        <f>K200&lt;&gt;L200</f>
        <v>0</v>
      </c>
      <c r="O200" t="b">
        <f>LEN(TRIM(N200))=0</f>
        <v>1</v>
      </c>
      <c r="P200" t="b">
        <f>AND(N200&gt;0, N200&lt;1000000)</f>
        <v>0</v>
      </c>
      <c r="Q200" t="s">
        <v>210</v>
      </c>
      <c r="R200" s="2" t="b">
        <f>LEN(TRIM(Q200))=0</f>
        <v>0</v>
      </c>
      <c r="S200" s="2" t="str">
        <f>IF(RIGHT(TRIM(Q200),9)="gmail.com","OK","Typo")</f>
        <v>OK</v>
      </c>
      <c r="T200" s="2" t="str">
        <f>A200&amp;D200&amp;G200&amp;I200&amp;K200&amp;N200&amp;Q200</f>
        <v>BilalMale47QuettaSalesbilal83@gmail.com</v>
      </c>
      <c r="U200" s="2" t="b">
        <f>COUNTIF(T:T,T200)&gt;1</f>
        <v>0</v>
      </c>
    </row>
    <row r="201" spans="1:21">
      <c r="A201" t="s">
        <v>175</v>
      </c>
      <c r="B201" t="b">
        <f>LEN(TRIM(A201))=0</f>
        <v>0</v>
      </c>
      <c r="C201" t="b">
        <f>COUNTIF(A:A,A201)&gt;1</f>
        <v>1</v>
      </c>
      <c r="D201" t="s">
        <v>30</v>
      </c>
      <c r="E201" t="b">
        <f>LEN(TRIM(D201))=0</f>
        <v>0</v>
      </c>
      <c r="F201" t="b">
        <f>EXACT(D201,PROPER(D201))</f>
        <v>1</v>
      </c>
      <c r="H201" t="b">
        <f>LEN(TRIM(G201))=0</f>
        <v>1</v>
      </c>
      <c r="I201" t="s">
        <v>37</v>
      </c>
      <c r="J201" t="b">
        <f>EXACT(I201,PROPER(I201))</f>
        <v>1</v>
      </c>
      <c r="K201" t="s">
        <v>38</v>
      </c>
      <c r="L201" t="str">
        <f>TRIM(K201)</f>
        <v>Sales</v>
      </c>
      <c r="M201" t="b">
        <f>K201&lt;&gt;L201</f>
        <v>0</v>
      </c>
      <c r="N201">
        <v>122189.45</v>
      </c>
      <c r="O201" t="b">
        <f>LEN(TRIM(N201))=0</f>
        <v>0</v>
      </c>
      <c r="P201" t="b">
        <f>AND(N201&gt;0, N201&lt;1000000)</f>
        <v>1</v>
      </c>
      <c r="Q201" t="s">
        <v>211</v>
      </c>
      <c r="R201" s="2" t="b">
        <f>LEN(TRIM(Q201))=0</f>
        <v>0</v>
      </c>
      <c r="S201" s="2" t="str">
        <f>IF(RIGHT(TRIM(Q201),9)="gmail.com","OK","Typo")</f>
        <v>OK</v>
      </c>
      <c r="T201" s="2" t="str">
        <f>A201&amp;D201&amp;G201&amp;I201&amp;K201&amp;N201&amp;Q201</f>
        <v>BilalFemaleIslamabadSales122189.45bilal85@gmail.com</v>
      </c>
      <c r="U201" s="2" t="b">
        <f>COUNTIF(T:T,T201)&gt;1</f>
        <v>0</v>
      </c>
    </row>
    <row r="202" spans="1:21">
      <c r="A202" t="s">
        <v>175</v>
      </c>
      <c r="B202" t="b">
        <f>LEN(TRIM(A202))=0</f>
        <v>0</v>
      </c>
      <c r="C202" t="b">
        <f>COUNTIF(A:A,A202)&gt;1</f>
        <v>1</v>
      </c>
      <c r="D202" t="s">
        <v>22</v>
      </c>
      <c r="E202" t="b">
        <f>LEN(TRIM(D202))=0</f>
        <v>0</v>
      </c>
      <c r="F202" t="b">
        <f>EXACT(D202,PROPER(D202))</f>
        <v>1</v>
      </c>
      <c r="H202" t="b">
        <f>LEN(TRIM(G202))=0</f>
        <v>1</v>
      </c>
      <c r="I202" t="s">
        <v>45</v>
      </c>
      <c r="J202" t="b">
        <f>EXACT(I202,PROPER(I202))</f>
        <v>1</v>
      </c>
      <c r="K202" t="s">
        <v>35</v>
      </c>
      <c r="L202" t="str">
        <f>TRIM(K202)</f>
        <v>Marketing</v>
      </c>
      <c r="M202" t="b">
        <f>K202&lt;&gt;L202</f>
        <v>0</v>
      </c>
      <c r="N202">
        <v>45263.05</v>
      </c>
      <c r="O202" t="b">
        <f>LEN(TRIM(N202))=0</f>
        <v>0</v>
      </c>
      <c r="P202" t="b">
        <f>AND(N202&gt;0, N202&lt;1000000)</f>
        <v>1</v>
      </c>
      <c r="Q202" t="s">
        <v>212</v>
      </c>
      <c r="R202" s="2" t="b">
        <f>LEN(TRIM(Q202))=0</f>
        <v>0</v>
      </c>
      <c r="S202" s="2" t="str">
        <f>IF(RIGHT(TRIM(Q202),9)="gmail.com","OK","Typo")</f>
        <v>OK</v>
      </c>
      <c r="T202" s="2" t="str">
        <f>A202&amp;D202&amp;G202&amp;I202&amp;K202&amp;N202&amp;Q202</f>
        <v>BilalMalePeshawarMarketing45263.05bilal89@gmail.com</v>
      </c>
      <c r="U202" s="2" t="b">
        <f>COUNTIF(T:T,T202)&gt;1</f>
        <v>0</v>
      </c>
    </row>
    <row r="203" spans="1:21">
      <c r="A203" t="s">
        <v>175</v>
      </c>
      <c r="B203" t="b">
        <f>LEN(TRIM(A203))=0</f>
        <v>0</v>
      </c>
      <c r="C203" t="b">
        <f>COUNTIF(A:A,A203)&gt;1</f>
        <v>1</v>
      </c>
      <c r="D203" t="s">
        <v>22</v>
      </c>
      <c r="E203" t="b">
        <f>LEN(TRIM(D203))=0</f>
        <v>0</v>
      </c>
      <c r="F203" t="b">
        <f>EXACT(D203,PROPER(D203))</f>
        <v>1</v>
      </c>
      <c r="H203" t="b">
        <f>LEN(TRIM(G203))=0</f>
        <v>1</v>
      </c>
      <c r="I203" t="s">
        <v>23</v>
      </c>
      <c r="J203" t="b">
        <f>EXACT(I203,PROPER(I203))</f>
        <v>1</v>
      </c>
      <c r="K203" t="s">
        <v>29</v>
      </c>
      <c r="L203" t="str">
        <f>TRIM(K203)</f>
        <v>Finance</v>
      </c>
      <c r="M203" t="b">
        <f>K203&lt;&gt;L203</f>
        <v>0</v>
      </c>
      <c r="N203">
        <v>82790.75</v>
      </c>
      <c r="O203" t="b">
        <f>LEN(TRIM(N203))=0</f>
        <v>0</v>
      </c>
      <c r="P203" t="b">
        <f>AND(N203&gt;0, N203&lt;1000000)</f>
        <v>1</v>
      </c>
      <c r="Q203" t="s">
        <v>213</v>
      </c>
      <c r="R203" s="2" t="b">
        <f>LEN(TRIM(Q203))=0</f>
        <v>0</v>
      </c>
      <c r="S203" s="2" t="str">
        <f>IF(RIGHT(TRIM(Q203),9)="gmail.com","OK","Typo")</f>
        <v>OK</v>
      </c>
      <c r="T203" s="2" t="str">
        <f>A203&amp;D203&amp;G203&amp;I203&amp;K203&amp;N203&amp;Q203</f>
        <v>BilalMaleQuettaFinance82790.75bilal91@gmail.com</v>
      </c>
      <c r="U203" s="2" t="b">
        <f>COUNTIF(T:T,T203)&gt;1</f>
        <v>0</v>
      </c>
    </row>
    <row r="204" spans="1:21">
      <c r="A204" t="s">
        <v>175</v>
      </c>
      <c r="B204" t="b">
        <f>LEN(TRIM(A204))=0</f>
        <v>0</v>
      </c>
      <c r="C204" t="b">
        <f>COUNTIF(A:A,A204)&gt;1</f>
        <v>1</v>
      </c>
      <c r="D204" t="s">
        <v>30</v>
      </c>
      <c r="E204" t="b">
        <f>LEN(TRIM(D204))=0</f>
        <v>0</v>
      </c>
      <c r="F204" t="b">
        <f>EXACT(D204,PROPER(D204))</f>
        <v>1</v>
      </c>
      <c r="G204">
        <v>60</v>
      </c>
      <c r="H204" t="b">
        <f>LEN(TRIM(G204))=0</f>
        <v>0</v>
      </c>
      <c r="I204" t="s">
        <v>45</v>
      </c>
      <c r="J204" t="b">
        <f>EXACT(I204,PROPER(I204))</f>
        <v>1</v>
      </c>
      <c r="K204" t="s">
        <v>29</v>
      </c>
      <c r="L204" t="str">
        <f>TRIM(K204)</f>
        <v>Finance</v>
      </c>
      <c r="M204" t="b">
        <f>K204&lt;&gt;L204</f>
        <v>0</v>
      </c>
      <c r="N204">
        <v>32984.18</v>
      </c>
      <c r="O204" t="b">
        <f>LEN(TRIM(N204))=0</f>
        <v>0</v>
      </c>
      <c r="P204" t="b">
        <f>AND(N204&gt;0, N204&lt;1000000)</f>
        <v>1</v>
      </c>
      <c r="Q204" t="s">
        <v>214</v>
      </c>
      <c r="R204" s="2" t="b">
        <f>LEN(TRIM(Q204))=0</f>
        <v>0</v>
      </c>
      <c r="S204" s="2" t="str">
        <f>IF(RIGHT(TRIM(Q204),9)="gmail.com","OK","Typo")</f>
        <v>OK</v>
      </c>
      <c r="T204" s="2" t="str">
        <f>A204&amp;D204&amp;G204&amp;I204&amp;K204&amp;N204&amp;Q204</f>
        <v>BilalFemale60PeshawarFinance32984.18bilal93@gmail.com</v>
      </c>
      <c r="U204" s="2" t="b">
        <f>COUNTIF(T:T,T204)&gt;1</f>
        <v>0</v>
      </c>
    </row>
    <row r="205" spans="1:21">
      <c r="A205" t="s">
        <v>175</v>
      </c>
      <c r="B205" t="b">
        <f>LEN(TRIM(A205))=0</f>
        <v>0</v>
      </c>
      <c r="C205" t="b">
        <f>COUNTIF(A:A,A205)&gt;1</f>
        <v>1</v>
      </c>
      <c r="D205" t="s">
        <v>30</v>
      </c>
      <c r="E205" t="b">
        <f>LEN(TRIM(D205))=0</f>
        <v>0</v>
      </c>
      <c r="F205" t="b">
        <f>EXACT(D205,PROPER(D205))</f>
        <v>1</v>
      </c>
      <c r="G205">
        <v>48</v>
      </c>
      <c r="H205" t="b">
        <f>LEN(TRIM(G205))=0</f>
        <v>0</v>
      </c>
      <c r="I205" t="s">
        <v>45</v>
      </c>
      <c r="J205" t="b">
        <f>EXACT(I205,PROPER(I205))</f>
        <v>1</v>
      </c>
      <c r="K205" t="s">
        <v>29</v>
      </c>
      <c r="L205" t="str">
        <f>TRIM(K205)</f>
        <v>Finance</v>
      </c>
      <c r="M205" t="b">
        <f>K205&lt;&gt;L205</f>
        <v>0</v>
      </c>
      <c r="O205" t="b">
        <f>LEN(TRIM(N205))=0</f>
        <v>1</v>
      </c>
      <c r="P205" t="b">
        <f>AND(N205&gt;0, N205&lt;1000000)</f>
        <v>0</v>
      </c>
      <c r="Q205" t="s">
        <v>215</v>
      </c>
      <c r="R205" s="2" t="b">
        <f>LEN(TRIM(Q205))=0</f>
        <v>0</v>
      </c>
      <c r="S205" s="2" t="str">
        <f>IF(RIGHT(TRIM(Q205),9)="gmail.com","OK","Typo")</f>
        <v>OK</v>
      </c>
      <c r="T205" s="2" t="str">
        <f>A205&amp;D205&amp;G205&amp;I205&amp;K205&amp;N205&amp;Q205</f>
        <v>BilalFemale48PeshawarFinancebilal95@gmail.com</v>
      </c>
      <c r="U205" s="2" t="b">
        <f>COUNTIF(T:T,T205)&gt;1</f>
        <v>0</v>
      </c>
    </row>
    <row r="206" spans="1:21">
      <c r="A206" t="s">
        <v>175</v>
      </c>
      <c r="B206" t="b">
        <f>LEN(TRIM(A206))=0</f>
        <v>0</v>
      </c>
      <c r="C206" t="b">
        <f>COUNTIF(A:A,A206)&gt;1</f>
        <v>1</v>
      </c>
      <c r="D206" t="s">
        <v>22</v>
      </c>
      <c r="E206" t="b">
        <f>LEN(TRIM(D206))=0</f>
        <v>0</v>
      </c>
      <c r="F206" t="b">
        <f>EXACT(D206,PROPER(D206))</f>
        <v>1</v>
      </c>
      <c r="H206" t="b">
        <f>LEN(TRIM(G206))=0</f>
        <v>1</v>
      </c>
      <c r="I206" t="s">
        <v>45</v>
      </c>
      <c r="J206" t="b">
        <f>EXACT(I206,PROPER(I206))</f>
        <v>1</v>
      </c>
      <c r="K206" t="s">
        <v>24</v>
      </c>
      <c r="L206" t="str">
        <f>TRIM(K206)</f>
        <v>HR</v>
      </c>
      <c r="M206" t="b">
        <f>K206&lt;&gt;L206</f>
        <v>0</v>
      </c>
      <c r="N206">
        <v>117303.98</v>
      </c>
      <c r="O206" t="b">
        <f>LEN(TRIM(N206))=0</f>
        <v>0</v>
      </c>
      <c r="P206" t="b">
        <f>AND(N206&gt;0, N206&lt;1000000)</f>
        <v>1</v>
      </c>
      <c r="Q206" t="s">
        <v>216</v>
      </c>
      <c r="R206" s="2" t="b">
        <f>LEN(TRIM(Q206))=0</f>
        <v>0</v>
      </c>
      <c r="S206" s="2" t="str">
        <f>IF(RIGHT(TRIM(Q206),9)="gmail.com","OK","Typo")</f>
        <v>OK</v>
      </c>
      <c r="T206" s="2" t="str">
        <f>A206&amp;D206&amp;G206&amp;I206&amp;K206&amp;N206&amp;Q206</f>
        <v>BilalMalePeshawarHR117303.98bilal96@gmail.com</v>
      </c>
      <c r="U206" s="2" t="b">
        <f>COUNTIF(T:T,T206)&gt;1</f>
        <v>0</v>
      </c>
    </row>
    <row r="207" spans="1:21">
      <c r="A207" t="s">
        <v>175</v>
      </c>
      <c r="B207" t="b">
        <f>LEN(TRIM(A207))=0</f>
        <v>0</v>
      </c>
      <c r="C207" t="b">
        <f>COUNTIF(A:A,A207)&gt;1</f>
        <v>1</v>
      </c>
      <c r="D207" t="s">
        <v>22</v>
      </c>
      <c r="E207" t="b">
        <f>LEN(TRIM(D207))=0</f>
        <v>0</v>
      </c>
      <c r="F207" t="b">
        <f>EXACT(D207,PROPER(D207))</f>
        <v>1</v>
      </c>
      <c r="H207" t="b">
        <f>LEN(TRIM(G207))=0</f>
        <v>1</v>
      </c>
      <c r="I207" t="s">
        <v>37</v>
      </c>
      <c r="J207" t="b">
        <f>EXACT(I207,PROPER(I207))</f>
        <v>1</v>
      </c>
      <c r="K207" t="s">
        <v>42</v>
      </c>
      <c r="L207" t="str">
        <f>TRIM(K207)</f>
        <v>IT</v>
      </c>
      <c r="M207" t="b">
        <f>K207&lt;&gt;L207</f>
        <v>0</v>
      </c>
      <c r="O207" t="b">
        <f>LEN(TRIM(N207))=0</f>
        <v>1</v>
      </c>
      <c r="P207" t="b">
        <f>AND(N207&gt;0, N207&lt;1000000)</f>
        <v>0</v>
      </c>
      <c r="Q207" t="s">
        <v>216</v>
      </c>
      <c r="R207" s="2" t="b">
        <f>LEN(TRIM(Q207))=0</f>
        <v>0</v>
      </c>
      <c r="S207" s="2" t="str">
        <f>IF(RIGHT(TRIM(Q207),9)="gmail.com","OK","Typo")</f>
        <v>OK</v>
      </c>
      <c r="T207" s="2" t="str">
        <f>A207&amp;D207&amp;G207&amp;I207&amp;K207&amp;N207&amp;Q207</f>
        <v>BilalMaleIslamabadITbilal96@gmail.com</v>
      </c>
      <c r="U207" s="2" t="b">
        <f>COUNTIF(T:T,T207)&gt;1</f>
        <v>0</v>
      </c>
    </row>
    <row r="208" spans="1:21">
      <c r="A208" t="s">
        <v>175</v>
      </c>
      <c r="B208" t="b">
        <f>LEN(TRIM(A208))=0</f>
        <v>0</v>
      </c>
      <c r="C208" t="b">
        <f>COUNTIF(A:A,A208)&gt;1</f>
        <v>1</v>
      </c>
      <c r="D208" t="s">
        <v>22</v>
      </c>
      <c r="E208" t="b">
        <f>LEN(TRIM(D208))=0</f>
        <v>0</v>
      </c>
      <c r="F208" t="b">
        <f>EXACT(D208,PROPER(D208))</f>
        <v>1</v>
      </c>
      <c r="G208">
        <v>36</v>
      </c>
      <c r="H208" t="b">
        <f>LEN(TRIM(G208))=0</f>
        <v>0</v>
      </c>
      <c r="I208" t="s">
        <v>28</v>
      </c>
      <c r="J208" t="b">
        <f>EXACT(I208,PROPER(I208))</f>
        <v>1</v>
      </c>
      <c r="K208" t="s">
        <v>29</v>
      </c>
      <c r="L208" t="str">
        <f>TRIM(K208)</f>
        <v>Finance</v>
      </c>
      <c r="M208" t="b">
        <f>K208&lt;&gt;L208</f>
        <v>0</v>
      </c>
      <c r="N208">
        <v>140236.04</v>
      </c>
      <c r="O208" t="b">
        <f>LEN(TRIM(N208))=0</f>
        <v>0</v>
      </c>
      <c r="P208" t="b">
        <f>AND(N208&gt;0, N208&lt;1000000)</f>
        <v>1</v>
      </c>
      <c r="Q208" t="s">
        <v>217</v>
      </c>
      <c r="R208" s="2" t="b">
        <f>LEN(TRIM(Q208))=0</f>
        <v>0</v>
      </c>
      <c r="S208" s="2" t="str">
        <f>IF(RIGHT(TRIM(Q208),9)="gmail.com","OK","Typo")</f>
        <v>OK</v>
      </c>
      <c r="T208" s="2" t="str">
        <f>A208&amp;D208&amp;G208&amp;I208&amp;K208&amp;N208&amp;Q208</f>
        <v>BilalMale36KarachiFinance140236.04bilal97@gmail.com</v>
      </c>
      <c r="U208" s="2" t="b">
        <f>COUNTIF(T:T,T208)&gt;1</f>
        <v>0</v>
      </c>
    </row>
    <row r="209" spans="1:21">
      <c r="A209" t="s">
        <v>175</v>
      </c>
      <c r="B209" t="b">
        <f>LEN(TRIM(A209))=0</f>
        <v>0</v>
      </c>
      <c r="C209" t="b">
        <f>COUNTIF(A:A,A209)&gt;1</f>
        <v>1</v>
      </c>
      <c r="D209" t="s">
        <v>22</v>
      </c>
      <c r="E209" t="b">
        <f>LEN(TRIM(D209))=0</f>
        <v>0</v>
      </c>
      <c r="F209" t="b">
        <f>EXACT(D209,PROPER(D209))</f>
        <v>1</v>
      </c>
      <c r="H209" t="b">
        <f>LEN(TRIM(G209))=0</f>
        <v>1</v>
      </c>
      <c r="I209" t="s">
        <v>32</v>
      </c>
      <c r="J209" t="b">
        <f>EXACT(I209,PROPER(I209))</f>
        <v>1</v>
      </c>
      <c r="K209" t="s">
        <v>42</v>
      </c>
      <c r="L209" t="str">
        <f>TRIM(K209)</f>
        <v>IT</v>
      </c>
      <c r="M209" t="b">
        <f>K209&lt;&gt;L209</f>
        <v>0</v>
      </c>
      <c r="N209">
        <v>120410.35</v>
      </c>
      <c r="O209" t="b">
        <f>LEN(TRIM(N209))=0</f>
        <v>0</v>
      </c>
      <c r="P209" t="b">
        <f>AND(N209&gt;0, N209&lt;1000000)</f>
        <v>1</v>
      </c>
      <c r="Q209" t="s">
        <v>218</v>
      </c>
      <c r="R209" s="2" t="b">
        <f>LEN(TRIM(Q209))=0</f>
        <v>0</v>
      </c>
      <c r="S209" s="2" t="str">
        <f>IF(RIGHT(TRIM(Q209),9)="gmail.com","OK","Typo")</f>
        <v>OK</v>
      </c>
      <c r="T209" s="2" t="str">
        <f>A209&amp;D209&amp;G209&amp;I209&amp;K209&amp;N209&amp;Q209</f>
        <v>BilalMaleLahoreIT120410.35bilal99@gmail.com</v>
      </c>
      <c r="U209" s="2" t="b">
        <f>COUNTIF(T:T,T209)&gt;1</f>
        <v>0</v>
      </c>
    </row>
    <row r="210" spans="1:21">
      <c r="A210" t="s">
        <v>219</v>
      </c>
      <c r="B210" t="b">
        <f>LEN(TRIM(A210))=0</f>
        <v>0</v>
      </c>
      <c r="C210" t="b">
        <f>COUNTIF(A:A,A210)&gt;1</f>
        <v>1</v>
      </c>
      <c r="D210" t="s">
        <v>22</v>
      </c>
      <c r="E210" t="b">
        <f>LEN(TRIM(D210))=0</f>
        <v>0</v>
      </c>
      <c r="F210" t="b">
        <f>EXACT(D210,PROPER(D210))</f>
        <v>1</v>
      </c>
      <c r="G210">
        <v>48</v>
      </c>
      <c r="H210" t="b">
        <f>LEN(TRIM(G210))=0</f>
        <v>0</v>
      </c>
      <c r="I210" t="s">
        <v>37</v>
      </c>
      <c r="J210" t="b">
        <f>EXACT(I210,PROPER(I210))</f>
        <v>1</v>
      </c>
      <c r="K210" t="s">
        <v>42</v>
      </c>
      <c r="L210" t="str">
        <f>TRIM(K210)</f>
        <v>IT</v>
      </c>
      <c r="M210" t="b">
        <f>K210&lt;&gt;L210</f>
        <v>0</v>
      </c>
      <c r="O210" t="b">
        <f>LEN(TRIM(N210))=0</f>
        <v>1</v>
      </c>
      <c r="P210" t="b">
        <f>AND(N210&gt;0, N210&lt;1000000)</f>
        <v>0</v>
      </c>
      <c r="Q210" t="s">
        <v>220</v>
      </c>
      <c r="R210" s="2" t="b">
        <f>LEN(TRIM(Q210))=0</f>
        <v>0</v>
      </c>
      <c r="S210" s="2" t="str">
        <f>IF(RIGHT(TRIM(Q210),9)="gmail.com","OK","Typo")</f>
        <v>OK</v>
      </c>
      <c r="T210" s="2" t="str">
        <f>A210&amp;D210&amp;G210&amp;I210&amp;K210&amp;N210&amp;Q210</f>
        <v>HinaMale48IslamabadIThina12@gmail.com</v>
      </c>
      <c r="U210" s="2" t="b">
        <f>COUNTIF(T:T,T210)&gt;1</f>
        <v>0</v>
      </c>
    </row>
    <row r="211" spans="1:21">
      <c r="A211" t="s">
        <v>219</v>
      </c>
      <c r="B211" t="b">
        <f>LEN(TRIM(A211))=0</f>
        <v>0</v>
      </c>
      <c r="C211" t="b">
        <f>COUNTIF(A:A,A211)&gt;1</f>
        <v>1</v>
      </c>
      <c r="D211" t="s">
        <v>22</v>
      </c>
      <c r="E211" t="b">
        <f>LEN(TRIM(D211))=0</f>
        <v>0</v>
      </c>
      <c r="F211" t="b">
        <f>EXACT(D211,PROPER(D211))</f>
        <v>1</v>
      </c>
      <c r="H211" t="b">
        <f>LEN(TRIM(G211))=0</f>
        <v>1</v>
      </c>
      <c r="I211" t="s">
        <v>45</v>
      </c>
      <c r="J211" t="b">
        <f>EXACT(I211,PROPER(I211))</f>
        <v>1</v>
      </c>
      <c r="K211" t="s">
        <v>42</v>
      </c>
      <c r="L211" t="str">
        <f>TRIM(K211)</f>
        <v>IT</v>
      </c>
      <c r="M211" t="b">
        <f>K211&lt;&gt;L211</f>
        <v>0</v>
      </c>
      <c r="N211">
        <v>131828.07999999999</v>
      </c>
      <c r="O211" t="b">
        <f>LEN(TRIM(N211))=0</f>
        <v>0</v>
      </c>
      <c r="P211" t="b">
        <f>AND(N211&gt;0, N211&lt;1000000)</f>
        <v>1</v>
      </c>
      <c r="Q211" t="s">
        <v>221</v>
      </c>
      <c r="R211" s="2" t="b">
        <f>LEN(TRIM(Q211))=0</f>
        <v>0</v>
      </c>
      <c r="S211" s="2" t="str">
        <f>IF(RIGHT(TRIM(Q211),9)="gmail.com","OK","Typo")</f>
        <v>OK</v>
      </c>
      <c r="T211" s="2" t="str">
        <f>A211&amp;D211&amp;G211&amp;I211&amp;K211&amp;N211&amp;Q211</f>
        <v>HinaMalePeshawarIT131828.08hina15@gmail.com</v>
      </c>
      <c r="U211" s="2" t="b">
        <f>COUNTIF(T:T,T211)&gt;1</f>
        <v>0</v>
      </c>
    </row>
    <row r="212" spans="1:21">
      <c r="A212" t="s">
        <v>219</v>
      </c>
      <c r="B212" t="b">
        <f>LEN(TRIM(A212))=0</f>
        <v>0</v>
      </c>
      <c r="C212" t="b">
        <f>COUNTIF(A:A,A212)&gt;1</f>
        <v>1</v>
      </c>
      <c r="D212" t="s">
        <v>22</v>
      </c>
      <c r="E212" t="b">
        <f>LEN(TRIM(D212))=0</f>
        <v>0</v>
      </c>
      <c r="F212" t="b">
        <f>EXACT(D212,PROPER(D212))</f>
        <v>1</v>
      </c>
      <c r="G212">
        <v>46</v>
      </c>
      <c r="H212" t="b">
        <f>LEN(TRIM(G212))=0</f>
        <v>0</v>
      </c>
      <c r="I212" t="s">
        <v>23</v>
      </c>
      <c r="J212" t="b">
        <f>EXACT(I212,PROPER(I212))</f>
        <v>1</v>
      </c>
      <c r="K212" t="s">
        <v>42</v>
      </c>
      <c r="L212" t="str">
        <f>TRIM(K212)</f>
        <v>IT</v>
      </c>
      <c r="M212" t="b">
        <f>K212&lt;&gt;L212</f>
        <v>0</v>
      </c>
      <c r="N212">
        <v>26632.99</v>
      </c>
      <c r="O212" t="b">
        <f>LEN(TRIM(N212))=0</f>
        <v>0</v>
      </c>
      <c r="P212" t="b">
        <f>AND(N212&gt;0, N212&lt;1000000)</f>
        <v>1</v>
      </c>
      <c r="Q212" t="s">
        <v>222</v>
      </c>
      <c r="R212" s="2" t="b">
        <f>LEN(TRIM(Q212))=0</f>
        <v>0</v>
      </c>
      <c r="S212" s="2" t="str">
        <f>IF(RIGHT(TRIM(Q212),9)="gmail.com","OK","Typo")</f>
        <v>OK</v>
      </c>
      <c r="T212" s="2" t="str">
        <f>A212&amp;D212&amp;G212&amp;I212&amp;K212&amp;N212&amp;Q212</f>
        <v>HinaMale46QuettaIT26632.99hina17@gmail.com</v>
      </c>
      <c r="U212" s="2" t="b">
        <f>COUNTIF(T:T,T212)&gt;1</f>
        <v>0</v>
      </c>
    </row>
    <row r="213" spans="1:21">
      <c r="A213" t="s">
        <v>219</v>
      </c>
      <c r="B213" t="b">
        <f>LEN(TRIM(A213))=0</f>
        <v>0</v>
      </c>
      <c r="C213" t="b">
        <f>COUNTIF(A:A,A213)&gt;1</f>
        <v>1</v>
      </c>
      <c r="D213" t="s">
        <v>30</v>
      </c>
      <c r="E213" t="b">
        <f>LEN(TRIM(D213))=0</f>
        <v>0</v>
      </c>
      <c r="F213" t="b">
        <f>EXACT(D213,PROPER(D213))</f>
        <v>1</v>
      </c>
      <c r="G213">
        <v>59</v>
      </c>
      <c r="H213" t="b">
        <f>LEN(TRIM(G213))=0</f>
        <v>0</v>
      </c>
      <c r="I213" t="s">
        <v>37</v>
      </c>
      <c r="J213" t="b">
        <f>EXACT(I213,PROPER(I213))</f>
        <v>1</v>
      </c>
      <c r="K213" t="s">
        <v>29</v>
      </c>
      <c r="L213" t="str">
        <f>TRIM(K213)</f>
        <v>Finance</v>
      </c>
      <c r="M213" t="b">
        <f>K213&lt;&gt;L213</f>
        <v>0</v>
      </c>
      <c r="N213">
        <v>131843.31</v>
      </c>
      <c r="O213" t="b">
        <f>LEN(TRIM(N213))=0</f>
        <v>0</v>
      </c>
      <c r="P213" t="b">
        <f>AND(N213&gt;0, N213&lt;1000000)</f>
        <v>1</v>
      </c>
      <c r="Q213" t="s">
        <v>223</v>
      </c>
      <c r="R213" s="2" t="b">
        <f>LEN(TRIM(Q213))=0</f>
        <v>0</v>
      </c>
      <c r="S213" s="2" t="str">
        <f>IF(RIGHT(TRIM(Q213),9)="gmail.com","OK","Typo")</f>
        <v>OK</v>
      </c>
      <c r="T213" s="2" t="str">
        <f>A213&amp;D213&amp;G213&amp;I213&amp;K213&amp;N213&amp;Q213</f>
        <v>HinaFemale59IslamabadFinance131843.31hina19@gmail.com</v>
      </c>
      <c r="U213" s="2" t="b">
        <f>COUNTIF(T:T,T213)&gt;1</f>
        <v>0</v>
      </c>
    </row>
    <row r="214" spans="1:21">
      <c r="A214" t="s">
        <v>219</v>
      </c>
      <c r="B214" t="b">
        <f>LEN(TRIM(A214))=0</f>
        <v>0</v>
      </c>
      <c r="C214" t="b">
        <f>COUNTIF(A:A,A214)&gt;1</f>
        <v>1</v>
      </c>
      <c r="D214" t="s">
        <v>22</v>
      </c>
      <c r="E214" t="b">
        <f>LEN(TRIM(D214))=0</f>
        <v>0</v>
      </c>
      <c r="F214" t="b">
        <f>EXACT(D214,PROPER(D214))</f>
        <v>1</v>
      </c>
      <c r="H214" t="b">
        <f>LEN(TRIM(G214))=0</f>
        <v>1</v>
      </c>
      <c r="I214" t="s">
        <v>23</v>
      </c>
      <c r="J214" t="b">
        <f>EXACT(I214,PROPER(I214))</f>
        <v>1</v>
      </c>
      <c r="K214" t="s">
        <v>42</v>
      </c>
      <c r="L214" t="str">
        <f>TRIM(K214)</f>
        <v>IT</v>
      </c>
      <c r="M214" t="b">
        <f>K214&lt;&gt;L214</f>
        <v>0</v>
      </c>
      <c r="N214">
        <v>36143.85</v>
      </c>
      <c r="O214" t="b">
        <f>LEN(TRIM(N214))=0</f>
        <v>0</v>
      </c>
      <c r="P214" t="b">
        <f>AND(N214&gt;0, N214&lt;1000000)</f>
        <v>1</v>
      </c>
      <c r="Q214" t="s">
        <v>224</v>
      </c>
      <c r="R214" s="2" t="b">
        <f>LEN(TRIM(Q214))=0</f>
        <v>0</v>
      </c>
      <c r="S214" s="2" t="str">
        <f>IF(RIGHT(TRIM(Q214),9)="gmail.com","OK","Typo")</f>
        <v>OK</v>
      </c>
      <c r="T214" s="2" t="str">
        <f>A214&amp;D214&amp;G214&amp;I214&amp;K214&amp;N214&amp;Q214</f>
        <v>HinaMaleQuettaIT36143.85hina23@gmail.com</v>
      </c>
      <c r="U214" s="2" t="b">
        <f>COUNTIF(T:T,T214)&gt;1</f>
        <v>0</v>
      </c>
    </row>
    <row r="215" spans="1:21">
      <c r="A215" t="s">
        <v>219</v>
      </c>
      <c r="B215" t="b">
        <f>LEN(TRIM(A215))=0</f>
        <v>0</v>
      </c>
      <c r="C215" t="b">
        <f>COUNTIF(A:A,A215)&gt;1</f>
        <v>1</v>
      </c>
      <c r="D215" t="s">
        <v>30</v>
      </c>
      <c r="E215" t="b">
        <f>LEN(TRIM(D215))=0</f>
        <v>0</v>
      </c>
      <c r="F215" t="b">
        <f>EXACT(D215,PROPER(D215))</f>
        <v>1</v>
      </c>
      <c r="G215">
        <v>27</v>
      </c>
      <c r="H215" t="b">
        <f>LEN(TRIM(G215))=0</f>
        <v>0</v>
      </c>
      <c r="I215" t="s">
        <v>101</v>
      </c>
      <c r="J215" t="b">
        <f>EXACT(I215,PROPER(I215))</f>
        <v>0</v>
      </c>
      <c r="K215" t="s">
        <v>24</v>
      </c>
      <c r="L215" t="str">
        <f>TRIM(K215)</f>
        <v>HR</v>
      </c>
      <c r="M215" t="b">
        <f>K215&lt;&gt;L215</f>
        <v>0</v>
      </c>
      <c r="O215" t="b">
        <f>LEN(TRIM(N215))=0</f>
        <v>1</v>
      </c>
      <c r="P215" t="b">
        <f>AND(N215&gt;0, N215&lt;1000000)</f>
        <v>0</v>
      </c>
      <c r="Q215" t="s">
        <v>225</v>
      </c>
      <c r="R215" s="2" t="b">
        <f>LEN(TRIM(Q215))=0</f>
        <v>0</v>
      </c>
      <c r="S215" s="2" t="str">
        <f>IF(RIGHT(TRIM(Q215),9)="gmail.com","OK","Typo")</f>
        <v>OK</v>
      </c>
      <c r="T215" s="2" t="str">
        <f>A215&amp;D215&amp;G215&amp;I215&amp;K215&amp;N215&amp;Q215</f>
        <v>HinaFemale27peshawarHRhina26@gmail.com</v>
      </c>
      <c r="U215" s="2" t="b">
        <f>COUNTIF(T:T,T215)&gt;1</f>
        <v>0</v>
      </c>
    </row>
    <row r="216" spans="1:21">
      <c r="A216" t="s">
        <v>219</v>
      </c>
      <c r="B216" t="b">
        <f>LEN(TRIM(A216))=0</f>
        <v>0</v>
      </c>
      <c r="C216" t="b">
        <f>COUNTIF(A:A,A216)&gt;1</f>
        <v>1</v>
      </c>
      <c r="D216" t="s">
        <v>22</v>
      </c>
      <c r="E216" t="b">
        <f>LEN(TRIM(D216))=0</f>
        <v>0</v>
      </c>
      <c r="F216" t="b">
        <f>EXACT(D216,PROPER(D216))</f>
        <v>1</v>
      </c>
      <c r="H216" t="b">
        <f>LEN(TRIM(G216))=0</f>
        <v>1</v>
      </c>
      <c r="I216" t="s">
        <v>37</v>
      </c>
      <c r="J216" t="b">
        <f>EXACT(I216,PROPER(I216))</f>
        <v>1</v>
      </c>
      <c r="K216" t="s">
        <v>35</v>
      </c>
      <c r="L216" t="str">
        <f>TRIM(K216)</f>
        <v>Marketing</v>
      </c>
      <c r="M216" t="b">
        <f>K216&lt;&gt;L216</f>
        <v>0</v>
      </c>
      <c r="N216">
        <v>105225.33</v>
      </c>
      <c r="O216" t="b">
        <f>LEN(TRIM(N216))=0</f>
        <v>0</v>
      </c>
      <c r="P216" t="b">
        <f>AND(N216&gt;0, N216&lt;1000000)</f>
        <v>1</v>
      </c>
      <c r="Q216" t="s">
        <v>226</v>
      </c>
      <c r="R216" s="2" t="b">
        <f>LEN(TRIM(Q216))=0</f>
        <v>0</v>
      </c>
      <c r="S216" s="2" t="str">
        <f>IF(RIGHT(TRIM(Q216),9)="gmail.com","OK","Typo")</f>
        <v>OK</v>
      </c>
      <c r="T216" s="2" t="str">
        <f>A216&amp;D216&amp;G216&amp;I216&amp;K216&amp;N216&amp;Q216</f>
        <v>HinaMaleIslamabadMarketing105225.33hina29@gmail.com</v>
      </c>
      <c r="U216" s="2" t="b">
        <f>COUNTIF(T:T,T216)&gt;1</f>
        <v>0</v>
      </c>
    </row>
    <row r="217" spans="1:21">
      <c r="A217" t="s">
        <v>219</v>
      </c>
      <c r="B217" t="b">
        <f>LEN(TRIM(A217))=0</f>
        <v>0</v>
      </c>
      <c r="C217" t="b">
        <f>COUNTIF(A:A,A217)&gt;1</f>
        <v>1</v>
      </c>
      <c r="D217" t="s">
        <v>30</v>
      </c>
      <c r="E217" t="b">
        <f>LEN(TRIM(D217))=0</f>
        <v>0</v>
      </c>
      <c r="F217" t="b">
        <f>EXACT(D217,PROPER(D217))</f>
        <v>1</v>
      </c>
      <c r="H217" t="b">
        <f>LEN(TRIM(G217))=0</f>
        <v>1</v>
      </c>
      <c r="I217" t="s">
        <v>28</v>
      </c>
      <c r="J217" t="b">
        <f>EXACT(I217,PROPER(I217))</f>
        <v>1</v>
      </c>
      <c r="K217" t="s">
        <v>29</v>
      </c>
      <c r="L217" t="str">
        <f>TRIM(K217)</f>
        <v>Finance</v>
      </c>
      <c r="M217" t="b">
        <f>K217&lt;&gt;L217</f>
        <v>0</v>
      </c>
      <c r="N217">
        <v>79528.08</v>
      </c>
      <c r="O217" t="b">
        <f>LEN(TRIM(N217))=0</f>
        <v>0</v>
      </c>
      <c r="P217" t="b">
        <f>AND(N217&gt;0, N217&lt;1000000)</f>
        <v>1</v>
      </c>
      <c r="Q217" t="s">
        <v>227</v>
      </c>
      <c r="R217" s="2" t="b">
        <f>LEN(TRIM(Q217))=0</f>
        <v>0</v>
      </c>
      <c r="S217" s="2" t="str">
        <f>IF(RIGHT(TRIM(Q217),9)="gmail.com","OK","Typo")</f>
        <v>OK</v>
      </c>
      <c r="T217" s="2" t="str">
        <f>A217&amp;D217&amp;G217&amp;I217&amp;K217&amp;N217&amp;Q217</f>
        <v>HinaFemaleKarachiFinance79528.08hina33@gmail.com</v>
      </c>
      <c r="U217" s="2" t="b">
        <f>COUNTIF(T:T,T217)&gt;1</f>
        <v>0</v>
      </c>
    </row>
    <row r="218" spans="1:21">
      <c r="A218" t="s">
        <v>219</v>
      </c>
      <c r="B218" t="b">
        <f>LEN(TRIM(A218))=0</f>
        <v>0</v>
      </c>
      <c r="C218" t="b">
        <f>COUNTIF(A:A,A218)&gt;1</f>
        <v>1</v>
      </c>
      <c r="D218" t="s">
        <v>22</v>
      </c>
      <c r="E218" t="b">
        <f>LEN(TRIM(D218))=0</f>
        <v>0</v>
      </c>
      <c r="F218" t="b">
        <f>EXACT(D218,PROPER(D218))</f>
        <v>1</v>
      </c>
      <c r="G218">
        <v>35</v>
      </c>
      <c r="H218" t="b">
        <f>LEN(TRIM(G218))=0</f>
        <v>0</v>
      </c>
      <c r="I218" t="s">
        <v>32</v>
      </c>
      <c r="J218" t="b">
        <f>EXACT(I218,PROPER(I218))</f>
        <v>1</v>
      </c>
      <c r="K218" t="s">
        <v>24</v>
      </c>
      <c r="L218" t="str">
        <f>TRIM(K218)</f>
        <v>HR</v>
      </c>
      <c r="M218" t="b">
        <f>K218&lt;&gt;L218</f>
        <v>0</v>
      </c>
      <c r="O218" t="b">
        <f>LEN(TRIM(N218))=0</f>
        <v>1</v>
      </c>
      <c r="P218" t="b">
        <f>AND(N218&gt;0, N218&lt;1000000)</f>
        <v>0</v>
      </c>
      <c r="Q218" t="s">
        <v>227</v>
      </c>
      <c r="R218" s="2" t="b">
        <f>LEN(TRIM(Q218))=0</f>
        <v>0</v>
      </c>
      <c r="S218" s="2" t="str">
        <f>IF(RIGHT(TRIM(Q218),9)="gmail.com","OK","Typo")</f>
        <v>OK</v>
      </c>
      <c r="T218" s="2" t="str">
        <f>A218&amp;D218&amp;G218&amp;I218&amp;K218&amp;N218&amp;Q218</f>
        <v>HinaMale35LahoreHRhina33@gmail.com</v>
      </c>
      <c r="U218" s="2" t="b">
        <f>COUNTIF(T:T,T218)&gt;1</f>
        <v>0</v>
      </c>
    </row>
    <row r="219" spans="1:21">
      <c r="A219" t="s">
        <v>219</v>
      </c>
      <c r="B219" t="b">
        <f>LEN(TRIM(A219))=0</f>
        <v>0</v>
      </c>
      <c r="C219" t="b">
        <f>COUNTIF(A:A,A219)&gt;1</f>
        <v>1</v>
      </c>
      <c r="D219" t="s">
        <v>30</v>
      </c>
      <c r="E219" t="b">
        <f>LEN(TRIM(D219))=0</f>
        <v>0</v>
      </c>
      <c r="F219" t="b">
        <f>EXACT(D219,PROPER(D219))</f>
        <v>1</v>
      </c>
      <c r="G219">
        <v>40</v>
      </c>
      <c r="H219" t="b">
        <f>LEN(TRIM(G219))=0</f>
        <v>0</v>
      </c>
      <c r="I219" t="s">
        <v>32</v>
      </c>
      <c r="J219" t="b">
        <f>EXACT(I219,PROPER(I219))</f>
        <v>1</v>
      </c>
      <c r="K219" t="s">
        <v>74</v>
      </c>
      <c r="L219" t="str">
        <f>TRIM(K219)</f>
        <v>Marketing</v>
      </c>
      <c r="M219" t="b">
        <f>K219&lt;&gt;L219</f>
        <v>1</v>
      </c>
      <c r="O219" t="b">
        <f>LEN(TRIM(N219))=0</f>
        <v>1</v>
      </c>
      <c r="P219" t="b">
        <f>AND(N219&gt;0, N219&lt;1000000)</f>
        <v>0</v>
      </c>
      <c r="Q219" t="s">
        <v>228</v>
      </c>
      <c r="R219" s="2" t="b">
        <f>LEN(TRIM(Q219))=0</f>
        <v>0</v>
      </c>
      <c r="S219" s="2" t="str">
        <f>IF(RIGHT(TRIM(Q219),9)="gmail.com","OK","Typo")</f>
        <v>OK</v>
      </c>
      <c r="T219" s="2" t="str">
        <f>A219&amp;D219&amp;G219&amp;I219&amp;K219&amp;N219&amp;Q219</f>
        <v>HinaFemale40Lahore Marketing hina35@gmail.com</v>
      </c>
      <c r="U219" s="2" t="b">
        <f>COUNTIF(T:T,T219)&gt;1</f>
        <v>0</v>
      </c>
    </row>
    <row r="220" spans="1:21">
      <c r="A220" t="s">
        <v>219</v>
      </c>
      <c r="B220" t="b">
        <f>LEN(TRIM(A220))=0</f>
        <v>0</v>
      </c>
      <c r="C220" t="b">
        <f>COUNTIF(A:A,A220)&gt;1</f>
        <v>1</v>
      </c>
      <c r="D220" t="s">
        <v>30</v>
      </c>
      <c r="E220" t="b">
        <f>LEN(TRIM(D220))=0</f>
        <v>0</v>
      </c>
      <c r="F220" t="b">
        <f>EXACT(D220,PROPER(D220))</f>
        <v>1</v>
      </c>
      <c r="H220" t="b">
        <f>LEN(TRIM(G220))=0</f>
        <v>1</v>
      </c>
      <c r="I220" t="s">
        <v>37</v>
      </c>
      <c r="J220" t="b">
        <f>EXACT(I220,PROPER(I220))</f>
        <v>1</v>
      </c>
      <c r="K220" t="s">
        <v>35</v>
      </c>
      <c r="L220" t="str">
        <f>TRIM(K220)</f>
        <v>Marketing</v>
      </c>
      <c r="M220" t="b">
        <f>K220&lt;&gt;L220</f>
        <v>0</v>
      </c>
      <c r="N220">
        <v>131838.92000000001</v>
      </c>
      <c r="O220" t="b">
        <f>LEN(TRIM(N220))=0</f>
        <v>0</v>
      </c>
      <c r="P220" t="b">
        <f>AND(N220&gt;0, N220&lt;1000000)</f>
        <v>1</v>
      </c>
      <c r="Q220" t="s">
        <v>229</v>
      </c>
      <c r="R220" s="2" t="b">
        <f>LEN(TRIM(Q220))=0</f>
        <v>0</v>
      </c>
      <c r="S220" s="2" t="str">
        <f>IF(RIGHT(TRIM(Q220),9)="gmail.com","OK","Typo")</f>
        <v>Typo</v>
      </c>
      <c r="T220" s="2" t="str">
        <f>A220&amp;D220&amp;G220&amp;I220&amp;K220&amp;N220&amp;Q220</f>
        <v>HinaFemaleIslamabadMarketing131838.92hina37@gamil.com</v>
      </c>
      <c r="U220" s="2" t="b">
        <f>COUNTIF(T:T,T220)&gt;1</f>
        <v>0</v>
      </c>
    </row>
    <row r="221" spans="1:21">
      <c r="A221" t="s">
        <v>219</v>
      </c>
      <c r="B221" t="b">
        <f>LEN(TRIM(A221))=0</f>
        <v>0</v>
      </c>
      <c r="C221" t="b">
        <f>COUNTIF(A:A,A221)&gt;1</f>
        <v>1</v>
      </c>
      <c r="D221" t="s">
        <v>22</v>
      </c>
      <c r="E221" t="b">
        <f>LEN(TRIM(D221))=0</f>
        <v>0</v>
      </c>
      <c r="F221" t="b">
        <f>EXACT(D221,PROPER(D221))</f>
        <v>1</v>
      </c>
      <c r="G221">
        <v>44</v>
      </c>
      <c r="H221" t="b">
        <f>LEN(TRIM(G221))=0</f>
        <v>0</v>
      </c>
      <c r="I221" t="s">
        <v>32</v>
      </c>
      <c r="J221" t="b">
        <f>EXACT(I221,PROPER(I221))</f>
        <v>1</v>
      </c>
      <c r="K221" t="s">
        <v>38</v>
      </c>
      <c r="L221" t="str">
        <f>TRIM(K221)</f>
        <v>Sales</v>
      </c>
      <c r="M221" t="b">
        <f>K221&lt;&gt;L221</f>
        <v>0</v>
      </c>
      <c r="N221">
        <v>68850.740000000005</v>
      </c>
      <c r="O221" t="b">
        <f>LEN(TRIM(N221))=0</f>
        <v>0</v>
      </c>
      <c r="P221" t="b">
        <f>AND(N221&gt;0, N221&lt;1000000)</f>
        <v>1</v>
      </c>
      <c r="Q221" t="s">
        <v>230</v>
      </c>
      <c r="R221" s="2" t="b">
        <f>LEN(TRIM(Q221))=0</f>
        <v>0</v>
      </c>
      <c r="S221" s="2" t="str">
        <f>IF(RIGHT(TRIM(Q221),9)="gmail.com","OK","Typo")</f>
        <v>OK</v>
      </c>
      <c r="T221" s="2" t="str">
        <f>A221&amp;D221&amp;G221&amp;I221&amp;K221&amp;N221&amp;Q221</f>
        <v>HinaMale44LahoreSales68850.74hina41@gmail.com</v>
      </c>
      <c r="U221" s="2" t="b">
        <f>COUNTIF(T:T,T221)&gt;1</f>
        <v>0</v>
      </c>
    </row>
    <row r="222" spans="1:21">
      <c r="A222" t="s">
        <v>219</v>
      </c>
      <c r="B222" t="b">
        <f>LEN(TRIM(A222))=0</f>
        <v>0</v>
      </c>
      <c r="C222" t="b">
        <f>COUNTIF(A:A,A222)&gt;1</f>
        <v>1</v>
      </c>
      <c r="D222" t="s">
        <v>22</v>
      </c>
      <c r="E222" t="b">
        <f>LEN(TRIM(D222))=0</f>
        <v>0</v>
      </c>
      <c r="F222" t="b">
        <f>EXACT(D222,PROPER(D222))</f>
        <v>1</v>
      </c>
      <c r="G222">
        <v>41</v>
      </c>
      <c r="H222" t="b">
        <f>LEN(TRIM(G222))=0</f>
        <v>0</v>
      </c>
      <c r="I222" t="s">
        <v>32</v>
      </c>
      <c r="J222" t="b">
        <f>EXACT(I222,PROPER(I222))</f>
        <v>1</v>
      </c>
      <c r="K222" t="s">
        <v>35</v>
      </c>
      <c r="L222" t="str">
        <f>TRIM(K222)</f>
        <v>Marketing</v>
      </c>
      <c r="M222" t="b">
        <f>K222&lt;&gt;L222</f>
        <v>0</v>
      </c>
      <c r="N222">
        <v>56323.27</v>
      </c>
      <c r="O222" t="b">
        <f>LEN(TRIM(N222))=0</f>
        <v>0</v>
      </c>
      <c r="P222" t="b">
        <f>AND(N222&gt;0, N222&lt;1000000)</f>
        <v>1</v>
      </c>
      <c r="Q222" t="s">
        <v>230</v>
      </c>
      <c r="R222" s="2" t="b">
        <f>LEN(TRIM(Q222))=0</f>
        <v>0</v>
      </c>
      <c r="S222" s="2" t="str">
        <f>IF(RIGHT(TRIM(Q222),9)="gmail.com","OK","Typo")</f>
        <v>OK</v>
      </c>
      <c r="T222" s="2" t="str">
        <f>A222&amp;D222&amp;G222&amp;I222&amp;K222&amp;N222&amp;Q222</f>
        <v>HinaMale41LahoreMarketing56323.27hina41@gmail.com</v>
      </c>
      <c r="U222" s="2" t="b">
        <f>COUNTIF(T:T,T222)&gt;1</f>
        <v>0</v>
      </c>
    </row>
    <row r="223" spans="1:21">
      <c r="A223" t="s">
        <v>219</v>
      </c>
      <c r="B223" t="b">
        <f>LEN(TRIM(A223))=0</f>
        <v>0</v>
      </c>
      <c r="C223" t="b">
        <f>COUNTIF(A:A,A223)&gt;1</f>
        <v>1</v>
      </c>
      <c r="D223" t="s">
        <v>30</v>
      </c>
      <c r="E223" t="b">
        <f>LEN(TRIM(D223))=0</f>
        <v>0</v>
      </c>
      <c r="F223" t="b">
        <f>EXACT(D223,PROPER(D223))</f>
        <v>1</v>
      </c>
      <c r="H223" t="b">
        <f>LEN(TRIM(G223))=0</f>
        <v>1</v>
      </c>
      <c r="I223" t="s">
        <v>23</v>
      </c>
      <c r="J223" t="b">
        <f>EXACT(I223,PROPER(I223))</f>
        <v>1</v>
      </c>
      <c r="K223" t="s">
        <v>35</v>
      </c>
      <c r="L223" t="str">
        <f>TRIM(K223)</f>
        <v>Marketing</v>
      </c>
      <c r="M223" t="b">
        <f>K223&lt;&gt;L223</f>
        <v>0</v>
      </c>
      <c r="N223">
        <v>127926.06</v>
      </c>
      <c r="O223" t="b">
        <f>LEN(TRIM(N223))=0</f>
        <v>0</v>
      </c>
      <c r="P223" t="b">
        <f>AND(N223&gt;0, N223&lt;1000000)</f>
        <v>1</v>
      </c>
      <c r="Q223" t="s">
        <v>231</v>
      </c>
      <c r="R223" s="2" t="b">
        <f>LEN(TRIM(Q223))=0</f>
        <v>0</v>
      </c>
      <c r="S223" s="2" t="str">
        <f>IF(RIGHT(TRIM(Q223),9)="gmail.com","OK","Typo")</f>
        <v>OK</v>
      </c>
      <c r="T223" s="2" t="str">
        <f>A223&amp;D223&amp;G223&amp;I223&amp;K223&amp;N223&amp;Q223</f>
        <v>HinaFemaleQuettaMarketing127926.06hina44@gmail.com</v>
      </c>
      <c r="U223" s="2" t="b">
        <f>COUNTIF(T:T,T223)&gt;1</f>
        <v>0</v>
      </c>
    </row>
    <row r="224" spans="1:21">
      <c r="A224" t="s">
        <v>219</v>
      </c>
      <c r="B224" t="b">
        <f>LEN(TRIM(A224))=0</f>
        <v>0</v>
      </c>
      <c r="C224" t="b">
        <f>COUNTIF(A:A,A224)&gt;1</f>
        <v>1</v>
      </c>
      <c r="D224" t="s">
        <v>22</v>
      </c>
      <c r="E224" t="b">
        <f>LEN(TRIM(D224))=0</f>
        <v>0</v>
      </c>
      <c r="F224" t="b">
        <f>EXACT(D224,PROPER(D224))</f>
        <v>1</v>
      </c>
      <c r="H224" t="b">
        <f>LEN(TRIM(G224))=0</f>
        <v>1</v>
      </c>
      <c r="I224" t="s">
        <v>28</v>
      </c>
      <c r="J224" t="b">
        <f>EXACT(I224,PROPER(I224))</f>
        <v>1</v>
      </c>
      <c r="K224" t="s">
        <v>35</v>
      </c>
      <c r="L224" t="str">
        <f>TRIM(K224)</f>
        <v>Marketing</v>
      </c>
      <c r="M224" t="b">
        <f>K224&lt;&gt;L224</f>
        <v>0</v>
      </c>
      <c r="N224">
        <v>45841.96</v>
      </c>
      <c r="O224" t="b">
        <f>LEN(TRIM(N224))=0</f>
        <v>0</v>
      </c>
      <c r="P224" t="b">
        <f>AND(N224&gt;0, N224&lt;1000000)</f>
        <v>1</v>
      </c>
      <c r="Q224" t="s">
        <v>231</v>
      </c>
      <c r="R224" s="2" t="b">
        <f>LEN(TRIM(Q224))=0</f>
        <v>0</v>
      </c>
      <c r="S224" s="2" t="str">
        <f>IF(RIGHT(TRIM(Q224),9)="gmail.com","OK","Typo")</f>
        <v>OK</v>
      </c>
      <c r="T224" s="2" t="str">
        <f>A224&amp;D224&amp;G224&amp;I224&amp;K224&amp;N224&amp;Q224</f>
        <v>HinaMaleKarachiMarketing45841.96hina44@gmail.com</v>
      </c>
      <c r="U224" s="2" t="b">
        <f>COUNTIF(T:T,T224)&gt;1</f>
        <v>0</v>
      </c>
    </row>
    <row r="225" spans="1:21">
      <c r="A225" t="s">
        <v>219</v>
      </c>
      <c r="B225" t="b">
        <f>LEN(TRIM(A225))=0</f>
        <v>0</v>
      </c>
      <c r="C225" t="b">
        <f>COUNTIF(A:A,A225)&gt;1</f>
        <v>1</v>
      </c>
      <c r="D225" t="s">
        <v>30</v>
      </c>
      <c r="E225" t="b">
        <f>LEN(TRIM(D225))=0</f>
        <v>0</v>
      </c>
      <c r="F225" t="b">
        <f>EXACT(D225,PROPER(D225))</f>
        <v>1</v>
      </c>
      <c r="H225" t="b">
        <f>LEN(TRIM(G225))=0</f>
        <v>1</v>
      </c>
      <c r="I225" t="s">
        <v>37</v>
      </c>
      <c r="J225" t="b">
        <f>EXACT(I225,PROPER(I225))</f>
        <v>1</v>
      </c>
      <c r="K225" t="s">
        <v>38</v>
      </c>
      <c r="L225" t="str">
        <f>TRIM(K225)</f>
        <v>Sales</v>
      </c>
      <c r="M225" t="b">
        <f>K225&lt;&gt;L225</f>
        <v>0</v>
      </c>
      <c r="O225" t="b">
        <f>LEN(TRIM(N225))=0</f>
        <v>1</v>
      </c>
      <c r="P225" t="b">
        <f>AND(N225&gt;0, N225&lt;1000000)</f>
        <v>0</v>
      </c>
      <c r="Q225" t="s">
        <v>232</v>
      </c>
      <c r="R225" s="2" t="b">
        <f>LEN(TRIM(Q225))=0</f>
        <v>0</v>
      </c>
      <c r="S225" s="2" t="str">
        <f>IF(RIGHT(TRIM(Q225),9)="gmail.com","OK","Typo")</f>
        <v>OK</v>
      </c>
      <c r="T225" s="2" t="str">
        <f>A225&amp;D225&amp;G225&amp;I225&amp;K225&amp;N225&amp;Q225</f>
        <v>HinaFemaleIslamabadSaleshina56@gmail.com</v>
      </c>
      <c r="U225" s="2" t="b">
        <f>COUNTIF(T:T,T225)&gt;1</f>
        <v>0</v>
      </c>
    </row>
    <row r="226" spans="1:21">
      <c r="A226" t="s">
        <v>219</v>
      </c>
      <c r="B226" t="b">
        <f>LEN(TRIM(A226))=0</f>
        <v>0</v>
      </c>
      <c r="C226" t="b">
        <f>COUNTIF(A:A,A226)&gt;1</f>
        <v>1</v>
      </c>
      <c r="D226" t="s">
        <v>30</v>
      </c>
      <c r="E226" t="b">
        <f>LEN(TRIM(D226))=0</f>
        <v>0</v>
      </c>
      <c r="F226" t="b">
        <f>EXACT(D226,PROPER(D226))</f>
        <v>1</v>
      </c>
      <c r="H226" t="b">
        <f>LEN(TRIM(G226))=0</f>
        <v>1</v>
      </c>
      <c r="I226" t="s">
        <v>23</v>
      </c>
      <c r="J226" t="b">
        <f>EXACT(I226,PROPER(I226))</f>
        <v>1</v>
      </c>
      <c r="K226" t="s">
        <v>29</v>
      </c>
      <c r="L226" t="str">
        <f>TRIM(K226)</f>
        <v>Finance</v>
      </c>
      <c r="M226" t="b">
        <f>K226&lt;&gt;L226</f>
        <v>0</v>
      </c>
      <c r="N226">
        <v>143149.99</v>
      </c>
      <c r="O226" t="b">
        <f>LEN(TRIM(N226))=0</f>
        <v>0</v>
      </c>
      <c r="P226" t="b">
        <f>AND(N226&gt;0, N226&lt;1000000)</f>
        <v>1</v>
      </c>
      <c r="Q226" t="s">
        <v>233</v>
      </c>
      <c r="R226" s="2" t="b">
        <f>LEN(TRIM(Q226))=0</f>
        <v>0</v>
      </c>
      <c r="S226" s="2" t="str">
        <f>IF(RIGHT(TRIM(Q226),9)="gmail.com","OK","Typo")</f>
        <v>OK</v>
      </c>
      <c r="T226" s="2" t="str">
        <f>A226&amp;D226&amp;G226&amp;I226&amp;K226&amp;N226&amp;Q226</f>
        <v>HinaFemaleQuettaFinance143149.99hina58@gmail.com</v>
      </c>
      <c r="U226" s="2" t="b">
        <f>COUNTIF(T:T,T226)&gt;1</f>
        <v>0</v>
      </c>
    </row>
    <row r="227" spans="1:21">
      <c r="A227" t="s">
        <v>219</v>
      </c>
      <c r="B227" t="b">
        <f>LEN(TRIM(A227))=0</f>
        <v>0</v>
      </c>
      <c r="C227" t="b">
        <f>COUNTIF(A:A,A227)&gt;1</f>
        <v>1</v>
      </c>
      <c r="D227" t="s">
        <v>22</v>
      </c>
      <c r="E227" t="b">
        <f>LEN(TRIM(D227))=0</f>
        <v>0</v>
      </c>
      <c r="F227" t="b">
        <f>EXACT(D227,PROPER(D227))</f>
        <v>1</v>
      </c>
      <c r="H227" t="b">
        <f>LEN(TRIM(G227))=0</f>
        <v>1</v>
      </c>
      <c r="I227" t="s">
        <v>28</v>
      </c>
      <c r="J227" t="b">
        <f>EXACT(I227,PROPER(I227))</f>
        <v>1</v>
      </c>
      <c r="K227" t="s">
        <v>35</v>
      </c>
      <c r="L227" t="str">
        <f>TRIM(K227)</f>
        <v>Marketing</v>
      </c>
      <c r="M227" t="b">
        <f>K227&lt;&gt;L227</f>
        <v>0</v>
      </c>
      <c r="N227">
        <v>103865.27</v>
      </c>
      <c r="O227" t="b">
        <f>LEN(TRIM(N227))=0</f>
        <v>0</v>
      </c>
      <c r="P227" t="b">
        <f>AND(N227&gt;0, N227&lt;1000000)</f>
        <v>1</v>
      </c>
      <c r="Q227" t="s">
        <v>233</v>
      </c>
      <c r="R227" s="2" t="b">
        <f>LEN(TRIM(Q227))=0</f>
        <v>0</v>
      </c>
      <c r="S227" s="2" t="str">
        <f>IF(RIGHT(TRIM(Q227),9)="gmail.com","OK","Typo")</f>
        <v>OK</v>
      </c>
      <c r="T227" s="2" t="str">
        <f>A227&amp;D227&amp;G227&amp;I227&amp;K227&amp;N227&amp;Q227</f>
        <v>HinaMaleKarachiMarketing103865.27hina58@gmail.com</v>
      </c>
      <c r="U227" s="2" t="b">
        <f>COUNTIF(T:T,T227)&gt;1</f>
        <v>0</v>
      </c>
    </row>
    <row r="228" spans="1:21">
      <c r="A228" t="s">
        <v>219</v>
      </c>
      <c r="B228" t="b">
        <f>LEN(TRIM(A228))=0</f>
        <v>0</v>
      </c>
      <c r="C228" t="b">
        <f>COUNTIF(A:A,A228)&gt;1</f>
        <v>1</v>
      </c>
      <c r="D228" t="s">
        <v>22</v>
      </c>
      <c r="E228" t="b">
        <f>LEN(TRIM(D228))=0</f>
        <v>0</v>
      </c>
      <c r="F228" t="b">
        <f>EXACT(D228,PROPER(D228))</f>
        <v>1</v>
      </c>
      <c r="G228">
        <v>47</v>
      </c>
      <c r="H228" t="b">
        <f>LEN(TRIM(G228))=0</f>
        <v>0</v>
      </c>
      <c r="I228" t="s">
        <v>45</v>
      </c>
      <c r="J228" t="b">
        <f>EXACT(I228,PROPER(I228))</f>
        <v>1</v>
      </c>
      <c r="K228" t="s">
        <v>24</v>
      </c>
      <c r="L228" t="str">
        <f>TRIM(K228)</f>
        <v>HR</v>
      </c>
      <c r="M228" t="b">
        <f>K228&lt;&gt;L228</f>
        <v>0</v>
      </c>
      <c r="N228">
        <v>40502.160000000003</v>
      </c>
      <c r="O228" t="b">
        <f>LEN(TRIM(N228))=0</f>
        <v>0</v>
      </c>
      <c r="P228" t="b">
        <f>AND(N228&gt;0, N228&lt;1000000)</f>
        <v>1</v>
      </c>
      <c r="Q228" t="s">
        <v>233</v>
      </c>
      <c r="R228" s="2" t="b">
        <f>LEN(TRIM(Q228))=0</f>
        <v>0</v>
      </c>
      <c r="S228" s="2" t="str">
        <f>IF(RIGHT(TRIM(Q228),9)="gmail.com","OK","Typo")</f>
        <v>OK</v>
      </c>
      <c r="T228" s="2" t="str">
        <f>A228&amp;D228&amp;G228&amp;I228&amp;K228&amp;N228&amp;Q228</f>
        <v>HinaMale47PeshawarHR40502.16hina58@gmail.com</v>
      </c>
      <c r="U228" s="2" t="b">
        <f>COUNTIF(T:T,T228)&gt;1</f>
        <v>0</v>
      </c>
    </row>
    <row r="229" spans="1:21">
      <c r="A229" t="s">
        <v>219</v>
      </c>
      <c r="B229" t="b">
        <f>LEN(TRIM(A229))=0</f>
        <v>0</v>
      </c>
      <c r="C229" t="b">
        <f>COUNTIF(A:A,A229)&gt;1</f>
        <v>1</v>
      </c>
      <c r="D229" t="s">
        <v>30</v>
      </c>
      <c r="E229" t="b">
        <f>LEN(TRIM(D229))=0</f>
        <v>0</v>
      </c>
      <c r="F229" t="b">
        <f>EXACT(D229,PROPER(D229))</f>
        <v>1</v>
      </c>
      <c r="H229" t="b">
        <f>LEN(TRIM(G229))=0</f>
        <v>1</v>
      </c>
      <c r="I229" t="s">
        <v>28</v>
      </c>
      <c r="J229" t="b">
        <f>EXACT(I229,PROPER(I229))</f>
        <v>1</v>
      </c>
      <c r="K229" t="s">
        <v>38</v>
      </c>
      <c r="L229" t="str">
        <f>TRIM(K229)</f>
        <v>Sales</v>
      </c>
      <c r="M229" t="b">
        <f>K229&lt;&gt;L229</f>
        <v>0</v>
      </c>
      <c r="O229" t="b">
        <f>LEN(TRIM(N229))=0</f>
        <v>1</v>
      </c>
      <c r="P229" t="b">
        <f>AND(N229&gt;0, N229&lt;1000000)</f>
        <v>0</v>
      </c>
      <c r="Q229" t="s">
        <v>233</v>
      </c>
      <c r="R229" s="2" t="b">
        <f>LEN(TRIM(Q229))=0</f>
        <v>0</v>
      </c>
      <c r="S229" s="2" t="str">
        <f>IF(RIGHT(TRIM(Q229),9)="gmail.com","OK","Typo")</f>
        <v>OK</v>
      </c>
      <c r="T229" s="2" t="str">
        <f>A229&amp;D229&amp;G229&amp;I229&amp;K229&amp;N229&amp;Q229</f>
        <v>HinaFemaleKarachiSaleshina58@gmail.com</v>
      </c>
      <c r="U229" s="2" t="b">
        <f>COUNTIF(T:T,T229)&gt;1</f>
        <v>0</v>
      </c>
    </row>
    <row r="230" spans="1:21">
      <c r="A230" t="s">
        <v>219</v>
      </c>
      <c r="B230" t="b">
        <f>LEN(TRIM(A230))=0</f>
        <v>0</v>
      </c>
      <c r="C230" t="b">
        <f>COUNTIF(A:A,A230)&gt;1</f>
        <v>1</v>
      </c>
      <c r="D230" t="s">
        <v>22</v>
      </c>
      <c r="E230" t="b">
        <f>LEN(TRIM(D230))=0</f>
        <v>0</v>
      </c>
      <c r="F230" t="b">
        <f>EXACT(D230,PROPER(D230))</f>
        <v>1</v>
      </c>
      <c r="G230">
        <v>55</v>
      </c>
      <c r="H230" t="b">
        <f>LEN(TRIM(G230))=0</f>
        <v>0</v>
      </c>
      <c r="I230" t="s">
        <v>45</v>
      </c>
      <c r="J230" t="b">
        <f>EXACT(I230,PROPER(I230))</f>
        <v>1</v>
      </c>
      <c r="K230" t="s">
        <v>35</v>
      </c>
      <c r="L230" t="str">
        <f>TRIM(K230)</f>
        <v>Marketing</v>
      </c>
      <c r="M230" t="b">
        <f>K230&lt;&gt;L230</f>
        <v>0</v>
      </c>
      <c r="N230">
        <v>30291.599999999999</v>
      </c>
      <c r="O230" t="b">
        <f>LEN(TRIM(N230))=0</f>
        <v>0</v>
      </c>
      <c r="P230" t="b">
        <f>AND(N230&gt;0, N230&lt;1000000)</f>
        <v>1</v>
      </c>
      <c r="Q230" t="s">
        <v>234</v>
      </c>
      <c r="R230" s="2" t="b">
        <f>LEN(TRIM(Q230))=0</f>
        <v>0</v>
      </c>
      <c r="S230" s="2" t="str">
        <f>IF(RIGHT(TRIM(Q230),9)="gmail.com","OK","Typo")</f>
        <v>OK</v>
      </c>
      <c r="T230" s="2" t="str">
        <f>A230&amp;D230&amp;G230&amp;I230&amp;K230&amp;N230&amp;Q230</f>
        <v>HinaMale55PeshawarMarketing30291.6hina62@gmail.com</v>
      </c>
      <c r="U230" s="2" t="b">
        <f>COUNTIF(T:T,T230)&gt;1</f>
        <v>0</v>
      </c>
    </row>
    <row r="231" spans="1:21">
      <c r="A231" t="s">
        <v>219</v>
      </c>
      <c r="B231" t="b">
        <f>LEN(TRIM(A231))=0</f>
        <v>0</v>
      </c>
      <c r="C231" t="b">
        <f>COUNTIF(A:A,A231)&gt;1</f>
        <v>1</v>
      </c>
      <c r="D231" t="s">
        <v>22</v>
      </c>
      <c r="E231" t="b">
        <f>LEN(TRIM(D231))=0</f>
        <v>0</v>
      </c>
      <c r="F231" t="b">
        <f>EXACT(D231,PROPER(D231))</f>
        <v>1</v>
      </c>
      <c r="G231">
        <v>47</v>
      </c>
      <c r="H231" t="b">
        <f>LEN(TRIM(G231))=0</f>
        <v>0</v>
      </c>
      <c r="I231" t="s">
        <v>37</v>
      </c>
      <c r="J231" t="b">
        <f>EXACT(I231,PROPER(I231))</f>
        <v>1</v>
      </c>
      <c r="K231" t="s">
        <v>29</v>
      </c>
      <c r="L231" t="str">
        <f>TRIM(K231)</f>
        <v>Finance</v>
      </c>
      <c r="M231" t="b">
        <f>K231&lt;&gt;L231</f>
        <v>0</v>
      </c>
      <c r="N231">
        <v>64876.160000000003</v>
      </c>
      <c r="O231" t="b">
        <f>LEN(TRIM(N231))=0</f>
        <v>0</v>
      </c>
      <c r="P231" t="b">
        <f>AND(N231&gt;0, N231&lt;1000000)</f>
        <v>1</v>
      </c>
      <c r="Q231" t="s">
        <v>235</v>
      </c>
      <c r="R231" s="2" t="b">
        <f>LEN(TRIM(Q231))=0</f>
        <v>0</v>
      </c>
      <c r="S231" s="2" t="str">
        <f>IF(RIGHT(TRIM(Q231),9)="gmail.com","OK","Typo")</f>
        <v>OK</v>
      </c>
      <c r="T231" s="2" t="str">
        <f>A231&amp;D231&amp;G231&amp;I231&amp;K231&amp;N231&amp;Q231</f>
        <v>HinaMale47IslamabadFinance64876.16hina63@gmail.com</v>
      </c>
      <c r="U231" s="2" t="b">
        <f>COUNTIF(T:T,T231)&gt;1</f>
        <v>0</v>
      </c>
    </row>
    <row r="232" spans="1:21">
      <c r="A232" t="s">
        <v>219</v>
      </c>
      <c r="B232" t="b">
        <f>LEN(TRIM(A232))=0</f>
        <v>0</v>
      </c>
      <c r="C232" t="b">
        <f>COUNTIF(A:A,A232)&gt;1</f>
        <v>1</v>
      </c>
      <c r="D232" t="s">
        <v>22</v>
      </c>
      <c r="E232" t="b">
        <f>LEN(TRIM(D232))=0</f>
        <v>0</v>
      </c>
      <c r="F232" t="b">
        <f>EXACT(D232,PROPER(D232))</f>
        <v>1</v>
      </c>
      <c r="H232" t="b">
        <f>LEN(TRIM(G232))=0</f>
        <v>1</v>
      </c>
      <c r="I232" t="s">
        <v>45</v>
      </c>
      <c r="J232" t="b">
        <f>EXACT(I232,PROPER(I232))</f>
        <v>1</v>
      </c>
      <c r="K232" t="s">
        <v>42</v>
      </c>
      <c r="L232" t="str">
        <f>TRIM(K232)</f>
        <v>IT</v>
      </c>
      <c r="M232" t="b">
        <f>K232&lt;&gt;L232</f>
        <v>0</v>
      </c>
      <c r="O232" t="b">
        <f>LEN(TRIM(N232))=0</f>
        <v>1</v>
      </c>
      <c r="P232" t="b">
        <f>AND(N232&gt;0, N232&lt;1000000)</f>
        <v>0</v>
      </c>
      <c r="Q232" t="s">
        <v>236</v>
      </c>
      <c r="R232" s="2" t="b">
        <f>LEN(TRIM(Q232))=0</f>
        <v>0</v>
      </c>
      <c r="S232" s="2" t="str">
        <f>IF(RIGHT(TRIM(Q232),9)="gmail.com","OK","Typo")</f>
        <v>OK</v>
      </c>
      <c r="T232" s="2" t="str">
        <f>A232&amp;D232&amp;G232&amp;I232&amp;K232&amp;N232&amp;Q232</f>
        <v>HinaMalePeshawarIThina64@gmail.com</v>
      </c>
      <c r="U232" s="2" t="b">
        <f>COUNTIF(T:T,T232)&gt;1</f>
        <v>0</v>
      </c>
    </row>
    <row r="233" spans="1:21">
      <c r="A233" t="s">
        <v>219</v>
      </c>
      <c r="B233" t="b">
        <f>LEN(TRIM(A233))=0</f>
        <v>0</v>
      </c>
      <c r="C233" t="b">
        <f>COUNTIF(A:A,A233)&gt;1</f>
        <v>1</v>
      </c>
      <c r="D233" t="s">
        <v>22</v>
      </c>
      <c r="E233" t="b">
        <f>LEN(TRIM(D233))=0</f>
        <v>0</v>
      </c>
      <c r="F233" t="b">
        <f>EXACT(D233,PROPER(D233))</f>
        <v>1</v>
      </c>
      <c r="G233">
        <v>25</v>
      </c>
      <c r="H233" t="b">
        <f>LEN(TRIM(G233))=0</f>
        <v>0</v>
      </c>
      <c r="I233" t="s">
        <v>37</v>
      </c>
      <c r="J233" t="b">
        <f>EXACT(I233,PROPER(I233))</f>
        <v>1</v>
      </c>
      <c r="K233" t="s">
        <v>42</v>
      </c>
      <c r="L233" t="str">
        <f>TRIM(K233)</f>
        <v>IT</v>
      </c>
      <c r="M233" t="b">
        <f>K233&lt;&gt;L233</f>
        <v>0</v>
      </c>
      <c r="O233" t="b">
        <f>LEN(TRIM(N233))=0</f>
        <v>1</v>
      </c>
      <c r="P233" t="b">
        <f>AND(N233&gt;0, N233&lt;1000000)</f>
        <v>0</v>
      </c>
      <c r="Q233" t="s">
        <v>237</v>
      </c>
      <c r="R233" s="2" t="b">
        <f>LEN(TRIM(Q233))=0</f>
        <v>0</v>
      </c>
      <c r="S233" s="2" t="str">
        <f>IF(RIGHT(TRIM(Q233),9)="gmail.com","OK","Typo")</f>
        <v>OK</v>
      </c>
      <c r="T233" s="2" t="str">
        <f>A233&amp;D233&amp;G233&amp;I233&amp;K233&amp;N233&amp;Q233</f>
        <v>HinaMale25IslamabadIThina65@gmail.com</v>
      </c>
      <c r="U233" s="2" t="b">
        <f>COUNTIF(T:T,T233)&gt;1</f>
        <v>0</v>
      </c>
    </row>
    <row r="234" spans="1:21">
      <c r="A234" t="s">
        <v>219</v>
      </c>
      <c r="B234" t="b">
        <f>LEN(TRIM(A234))=0</f>
        <v>0</v>
      </c>
      <c r="C234" t="b">
        <f>COUNTIF(A:A,A234)&gt;1</f>
        <v>1</v>
      </c>
      <c r="D234" t="s">
        <v>30</v>
      </c>
      <c r="E234" t="b">
        <f>LEN(TRIM(D234))=0</f>
        <v>0</v>
      </c>
      <c r="F234" t="b">
        <f>EXACT(D234,PROPER(D234))</f>
        <v>1</v>
      </c>
      <c r="G234">
        <v>45</v>
      </c>
      <c r="H234" t="b">
        <f>LEN(TRIM(G234))=0</f>
        <v>0</v>
      </c>
      <c r="I234" t="s">
        <v>45</v>
      </c>
      <c r="J234" t="b">
        <f>EXACT(I234,PROPER(I234))</f>
        <v>1</v>
      </c>
      <c r="K234" t="s">
        <v>35</v>
      </c>
      <c r="L234" t="str">
        <f>TRIM(K234)</f>
        <v>Marketing</v>
      </c>
      <c r="M234" t="b">
        <f>K234&lt;&gt;L234</f>
        <v>0</v>
      </c>
      <c r="N234">
        <v>146884.65</v>
      </c>
      <c r="O234" t="b">
        <f>LEN(TRIM(N234))=0</f>
        <v>0</v>
      </c>
      <c r="P234" t="b">
        <f>AND(N234&gt;0, N234&lt;1000000)</f>
        <v>1</v>
      </c>
      <c r="Q234" t="s">
        <v>238</v>
      </c>
      <c r="R234" s="2" t="b">
        <f>LEN(TRIM(Q234))=0</f>
        <v>0</v>
      </c>
      <c r="S234" s="2" t="str">
        <f>IF(RIGHT(TRIM(Q234),9)="gmail.com","OK","Typo")</f>
        <v>OK</v>
      </c>
      <c r="T234" s="2" t="str">
        <f>A234&amp;D234&amp;G234&amp;I234&amp;K234&amp;N234&amp;Q234</f>
        <v>HinaFemale45PeshawarMarketing146884.65hina66@gmail.com</v>
      </c>
      <c r="U234" s="2" t="b">
        <f>COUNTIF(T:T,T234)&gt;1</f>
        <v>0</v>
      </c>
    </row>
    <row r="235" spans="1:21">
      <c r="A235" t="s">
        <v>219</v>
      </c>
      <c r="B235" t="b">
        <f>LEN(TRIM(A235))=0</f>
        <v>0</v>
      </c>
      <c r="C235" t="b">
        <f>COUNTIF(A:A,A235)&gt;1</f>
        <v>1</v>
      </c>
      <c r="D235" t="s">
        <v>30</v>
      </c>
      <c r="E235" t="b">
        <f>LEN(TRIM(D235))=0</f>
        <v>0</v>
      </c>
      <c r="F235" t="b">
        <f>EXACT(D235,PROPER(D235))</f>
        <v>1</v>
      </c>
      <c r="H235" t="b">
        <f>LEN(TRIM(G235))=0</f>
        <v>1</v>
      </c>
      <c r="I235" t="s">
        <v>32</v>
      </c>
      <c r="J235" t="b">
        <f>EXACT(I235,PROPER(I235))</f>
        <v>1</v>
      </c>
      <c r="K235" t="s">
        <v>42</v>
      </c>
      <c r="L235" t="str">
        <f>TRIM(K235)</f>
        <v>IT</v>
      </c>
      <c r="M235" t="b">
        <f>K235&lt;&gt;L235</f>
        <v>0</v>
      </c>
      <c r="O235" t="b">
        <f>LEN(TRIM(N235))=0</f>
        <v>1</v>
      </c>
      <c r="P235" t="b">
        <f>AND(N235&gt;0, N235&lt;1000000)</f>
        <v>0</v>
      </c>
      <c r="Q235" t="s">
        <v>238</v>
      </c>
      <c r="R235" s="2" t="b">
        <f>LEN(TRIM(Q235))=0</f>
        <v>0</v>
      </c>
      <c r="S235" s="2" t="str">
        <f>IF(RIGHT(TRIM(Q235),9)="gmail.com","OK","Typo")</f>
        <v>OK</v>
      </c>
      <c r="T235" s="2" t="str">
        <f>A235&amp;D235&amp;G235&amp;I235&amp;K235&amp;N235&amp;Q235</f>
        <v>HinaFemaleLahoreIThina66@gmail.com</v>
      </c>
      <c r="U235" s="2" t="b">
        <f>COUNTIF(T:T,T235)&gt;1</f>
        <v>0</v>
      </c>
    </row>
    <row r="236" spans="1:21">
      <c r="A236" t="s">
        <v>219</v>
      </c>
      <c r="B236" t="b">
        <f>LEN(TRIM(A236))=0</f>
        <v>0</v>
      </c>
      <c r="C236" t="b">
        <f>COUNTIF(A:A,A236)&gt;1</f>
        <v>1</v>
      </c>
      <c r="D236" t="s">
        <v>22</v>
      </c>
      <c r="E236" t="b">
        <f>LEN(TRIM(D236))=0</f>
        <v>0</v>
      </c>
      <c r="F236" t="b">
        <f>EXACT(D236,PROPER(D236))</f>
        <v>1</v>
      </c>
      <c r="G236">
        <v>45</v>
      </c>
      <c r="H236" t="b">
        <f>LEN(TRIM(G236))=0</f>
        <v>0</v>
      </c>
      <c r="I236" t="s">
        <v>66</v>
      </c>
      <c r="J236" t="b">
        <f>EXACT(I236,PROPER(I236))</f>
        <v>0</v>
      </c>
      <c r="K236" t="s">
        <v>29</v>
      </c>
      <c r="L236" t="str">
        <f>TRIM(K236)</f>
        <v>Finance</v>
      </c>
      <c r="M236" t="b">
        <f>K236&lt;&gt;L236</f>
        <v>0</v>
      </c>
      <c r="O236" t="b">
        <f>LEN(TRIM(N236))=0</f>
        <v>1</v>
      </c>
      <c r="P236" t="b">
        <f>AND(N236&gt;0, N236&lt;1000000)</f>
        <v>0</v>
      </c>
      <c r="Q236" t="s">
        <v>239</v>
      </c>
      <c r="R236" s="2" t="b">
        <f>LEN(TRIM(Q236))=0</f>
        <v>0</v>
      </c>
      <c r="S236" s="2" t="str">
        <f>IF(RIGHT(TRIM(Q236),9)="gmail.com","OK","Typo")</f>
        <v>OK</v>
      </c>
      <c r="T236" s="2" t="str">
        <f>A236&amp;D236&amp;G236&amp;I236&amp;K236&amp;N236&amp;Q236</f>
        <v>HinaMale45karachiFinancehina69@gmail.com</v>
      </c>
      <c r="U236" s="2" t="b">
        <f>COUNTIF(T:T,T236)&gt;1</f>
        <v>0</v>
      </c>
    </row>
    <row r="237" spans="1:21">
      <c r="A237" t="s">
        <v>219</v>
      </c>
      <c r="B237" t="b">
        <f>LEN(TRIM(A237))=0</f>
        <v>0</v>
      </c>
      <c r="C237" t="b">
        <f>COUNTIF(A:A,A237)&gt;1</f>
        <v>1</v>
      </c>
      <c r="D237" t="s">
        <v>30</v>
      </c>
      <c r="E237" t="b">
        <f>LEN(TRIM(D237))=0</f>
        <v>0</v>
      </c>
      <c r="F237" t="b">
        <f>EXACT(D237,PROPER(D237))</f>
        <v>1</v>
      </c>
      <c r="H237" t="b">
        <f>LEN(TRIM(G237))=0</f>
        <v>1</v>
      </c>
      <c r="I237" t="s">
        <v>28</v>
      </c>
      <c r="J237" t="b">
        <f>EXACT(I237,PROPER(I237))</f>
        <v>1</v>
      </c>
      <c r="K237" t="s">
        <v>35</v>
      </c>
      <c r="L237" t="str">
        <f>TRIM(K237)</f>
        <v>Marketing</v>
      </c>
      <c r="M237" t="b">
        <f>K237&lt;&gt;L237</f>
        <v>0</v>
      </c>
      <c r="O237" t="b">
        <f>LEN(TRIM(N237))=0</f>
        <v>1</v>
      </c>
      <c r="P237" t="b">
        <f>AND(N237&gt;0, N237&lt;1000000)</f>
        <v>0</v>
      </c>
      <c r="Q237" t="s">
        <v>240</v>
      </c>
      <c r="R237" s="2" t="b">
        <f>LEN(TRIM(Q237))=0</f>
        <v>0</v>
      </c>
      <c r="S237" s="2" t="str">
        <f>IF(RIGHT(TRIM(Q237),9)="gmail.com","OK","Typo")</f>
        <v>OK</v>
      </c>
      <c r="T237" s="2" t="str">
        <f>A237&amp;D237&amp;G237&amp;I237&amp;K237&amp;N237&amp;Q237</f>
        <v>HinaFemaleKarachiMarketinghina72@gmail.com</v>
      </c>
      <c r="U237" s="2" t="b">
        <f>COUNTIF(T:T,T237)&gt;1</f>
        <v>0</v>
      </c>
    </row>
    <row r="238" spans="1:21">
      <c r="A238" t="s">
        <v>219</v>
      </c>
      <c r="B238" t="b">
        <f>LEN(TRIM(A238))=0</f>
        <v>0</v>
      </c>
      <c r="C238" t="b">
        <f>COUNTIF(A:A,A238)&gt;1</f>
        <v>1</v>
      </c>
      <c r="D238" t="s">
        <v>30</v>
      </c>
      <c r="E238" t="b">
        <f>LEN(TRIM(D238))=0</f>
        <v>0</v>
      </c>
      <c r="F238" t="b">
        <f>EXACT(D238,PROPER(D238))</f>
        <v>1</v>
      </c>
      <c r="G238">
        <v>58</v>
      </c>
      <c r="H238" t="b">
        <f>LEN(TRIM(G238))=0</f>
        <v>0</v>
      </c>
      <c r="I238" t="s">
        <v>23</v>
      </c>
      <c r="J238" t="b">
        <f>EXACT(I238,PROPER(I238))</f>
        <v>1</v>
      </c>
      <c r="K238" t="s">
        <v>33</v>
      </c>
      <c r="L238" t="str">
        <f>TRIM(K238)</f>
        <v>IT</v>
      </c>
      <c r="M238" t="b">
        <f>K238&lt;&gt;L238</f>
        <v>1</v>
      </c>
      <c r="N238">
        <v>109092.38</v>
      </c>
      <c r="O238" t="b">
        <f>LEN(TRIM(N238))=0</f>
        <v>0</v>
      </c>
      <c r="P238" t="b">
        <f>AND(N238&gt;0, N238&lt;1000000)</f>
        <v>1</v>
      </c>
      <c r="Q238" t="s">
        <v>241</v>
      </c>
      <c r="R238" s="2" t="b">
        <f>LEN(TRIM(Q238))=0</f>
        <v>0</v>
      </c>
      <c r="S238" s="2" t="str">
        <f>IF(RIGHT(TRIM(Q238),9)="gmail.com","OK","Typo")</f>
        <v>OK</v>
      </c>
      <c r="T238" s="2" t="str">
        <f>A238&amp;D238&amp;G238&amp;I238&amp;K238&amp;N238&amp;Q238</f>
        <v>HinaFemale58Quetta IT 109092.38hina73@gmail.com</v>
      </c>
      <c r="U238" s="2" t="b">
        <f>COUNTIF(T:T,T238)&gt;1</f>
        <v>0</v>
      </c>
    </row>
    <row r="239" spans="1:21">
      <c r="A239" t="s">
        <v>219</v>
      </c>
      <c r="B239" t="b">
        <f>LEN(TRIM(A239))=0</f>
        <v>0</v>
      </c>
      <c r="C239" t="b">
        <f>COUNTIF(A:A,A239)&gt;1</f>
        <v>1</v>
      </c>
      <c r="D239" t="s">
        <v>22</v>
      </c>
      <c r="E239" t="b">
        <f>LEN(TRIM(D239))=0</f>
        <v>0</v>
      </c>
      <c r="F239" t="b">
        <f>EXACT(D239,PROPER(D239))</f>
        <v>1</v>
      </c>
      <c r="H239" t="b">
        <f>LEN(TRIM(G239))=0</f>
        <v>1</v>
      </c>
      <c r="I239" t="s">
        <v>32</v>
      </c>
      <c r="J239" t="b">
        <f>EXACT(I239,PROPER(I239))</f>
        <v>1</v>
      </c>
      <c r="K239" t="s">
        <v>29</v>
      </c>
      <c r="L239" t="str">
        <f>TRIM(K239)</f>
        <v>Finance</v>
      </c>
      <c r="M239" t="b">
        <f>K239&lt;&gt;L239</f>
        <v>0</v>
      </c>
      <c r="N239">
        <v>94083.88</v>
      </c>
      <c r="O239" t="b">
        <f>LEN(TRIM(N239))=0</f>
        <v>0</v>
      </c>
      <c r="P239" t="b">
        <f>AND(N239&gt;0, N239&lt;1000000)</f>
        <v>1</v>
      </c>
      <c r="Q239" t="s">
        <v>242</v>
      </c>
      <c r="R239" s="2" t="b">
        <f>LEN(TRIM(Q239))=0</f>
        <v>0</v>
      </c>
      <c r="S239" s="2" t="str">
        <f>IF(RIGHT(TRIM(Q239),9)="gmail.com","OK","Typo")</f>
        <v>OK</v>
      </c>
      <c r="T239" s="2" t="str">
        <f>A239&amp;D239&amp;G239&amp;I239&amp;K239&amp;N239&amp;Q239</f>
        <v>HinaMaleLahoreFinance94083.88hina74@gmail.com</v>
      </c>
      <c r="U239" s="2" t="b">
        <f>COUNTIF(T:T,T239)&gt;1</f>
        <v>0</v>
      </c>
    </row>
    <row r="240" spans="1:21">
      <c r="A240" t="s">
        <v>219</v>
      </c>
      <c r="B240" t="b">
        <f>LEN(TRIM(A240))=0</f>
        <v>0</v>
      </c>
      <c r="C240" t="b">
        <f>COUNTIF(A:A,A240)&gt;1</f>
        <v>1</v>
      </c>
      <c r="D240" t="s">
        <v>30</v>
      </c>
      <c r="E240" t="b">
        <f>LEN(TRIM(D240))=0</f>
        <v>0</v>
      </c>
      <c r="F240" t="b">
        <f>EXACT(D240,PROPER(D240))</f>
        <v>1</v>
      </c>
      <c r="H240" t="b">
        <f>LEN(TRIM(G240))=0</f>
        <v>1</v>
      </c>
      <c r="I240" t="s">
        <v>23</v>
      </c>
      <c r="J240" t="b">
        <f>EXACT(I240,PROPER(I240))</f>
        <v>1</v>
      </c>
      <c r="K240" t="s">
        <v>29</v>
      </c>
      <c r="L240" t="str">
        <f>TRIM(K240)</f>
        <v>Finance</v>
      </c>
      <c r="M240" t="b">
        <f>K240&lt;&gt;L240</f>
        <v>0</v>
      </c>
      <c r="N240">
        <v>54971.54</v>
      </c>
      <c r="O240" t="b">
        <f>LEN(TRIM(N240))=0</f>
        <v>0</v>
      </c>
      <c r="P240" t="b">
        <f>AND(N240&gt;0, N240&lt;1000000)</f>
        <v>1</v>
      </c>
      <c r="Q240" t="s">
        <v>243</v>
      </c>
      <c r="R240" s="2" t="b">
        <f>LEN(TRIM(Q240))=0</f>
        <v>0</v>
      </c>
      <c r="S240" s="2" t="str">
        <f>IF(RIGHT(TRIM(Q240),9)="gmail.com","OK","Typo")</f>
        <v>Typo</v>
      </c>
      <c r="T240" s="2" t="str">
        <f>A240&amp;D240&amp;G240&amp;I240&amp;K240&amp;N240&amp;Q240</f>
        <v>HinaFemaleQuettaFinance54971.54hina77@gamil.com</v>
      </c>
      <c r="U240" s="2" t="b">
        <f>COUNTIF(T:T,T240)&gt;1</f>
        <v>0</v>
      </c>
    </row>
    <row r="241" spans="1:21">
      <c r="A241" t="s">
        <v>219</v>
      </c>
      <c r="B241" t="b">
        <f>LEN(TRIM(A241))=0</f>
        <v>0</v>
      </c>
      <c r="C241" t="b">
        <f>COUNTIF(A:A,A241)&gt;1</f>
        <v>1</v>
      </c>
      <c r="D241" t="s">
        <v>22</v>
      </c>
      <c r="E241" t="b">
        <f>LEN(TRIM(D241))=0</f>
        <v>0</v>
      </c>
      <c r="F241" t="b">
        <f>EXACT(D241,PROPER(D241))</f>
        <v>1</v>
      </c>
      <c r="G241">
        <v>38</v>
      </c>
      <c r="H241" t="b">
        <f>LEN(TRIM(G241))=0</f>
        <v>0</v>
      </c>
      <c r="I241" t="s">
        <v>23</v>
      </c>
      <c r="J241" t="b">
        <f>EXACT(I241,PROPER(I241))</f>
        <v>1</v>
      </c>
      <c r="K241" t="s">
        <v>29</v>
      </c>
      <c r="L241" t="str">
        <f>TRIM(K241)</f>
        <v>Finance</v>
      </c>
      <c r="M241" t="b">
        <f>K241&lt;&gt;L241</f>
        <v>0</v>
      </c>
      <c r="N241">
        <v>94217.98</v>
      </c>
      <c r="O241" t="b">
        <f>LEN(TRIM(N241))=0</f>
        <v>0</v>
      </c>
      <c r="P241" t="b">
        <f>AND(N241&gt;0, N241&lt;1000000)</f>
        <v>1</v>
      </c>
      <c r="Q241" t="s">
        <v>244</v>
      </c>
      <c r="R241" s="2" t="b">
        <f>LEN(TRIM(Q241))=0</f>
        <v>0</v>
      </c>
      <c r="S241" s="2" t="str">
        <f>IF(RIGHT(TRIM(Q241),9)="gmail.com","OK","Typo")</f>
        <v>OK</v>
      </c>
      <c r="T241" s="2" t="str">
        <f>A241&amp;D241&amp;G241&amp;I241&amp;K241&amp;N241&amp;Q241</f>
        <v>HinaMale38QuettaFinance94217.98hina77@gmail.com</v>
      </c>
      <c r="U241" s="2" t="b">
        <f>COUNTIF(T:T,T241)&gt;1</f>
        <v>0</v>
      </c>
    </row>
    <row r="242" spans="1:21">
      <c r="A242" t="s">
        <v>219</v>
      </c>
      <c r="B242" t="b">
        <f>LEN(TRIM(A242))=0</f>
        <v>0</v>
      </c>
      <c r="C242" t="b">
        <f>COUNTIF(A:A,A242)&gt;1</f>
        <v>1</v>
      </c>
      <c r="D242" t="s">
        <v>22</v>
      </c>
      <c r="E242" t="b">
        <f>LEN(TRIM(D242))=0</f>
        <v>0</v>
      </c>
      <c r="F242" t="b">
        <f>EXACT(D242,PROPER(D242))</f>
        <v>1</v>
      </c>
      <c r="H242" t="b">
        <f>LEN(TRIM(G242))=0</f>
        <v>1</v>
      </c>
      <c r="I242" t="s">
        <v>45</v>
      </c>
      <c r="J242" t="b">
        <f>EXACT(I242,PROPER(I242))</f>
        <v>1</v>
      </c>
      <c r="K242" t="s">
        <v>29</v>
      </c>
      <c r="L242" t="str">
        <f>TRIM(K242)</f>
        <v>Finance</v>
      </c>
      <c r="M242" t="b">
        <f>K242&lt;&gt;L242</f>
        <v>0</v>
      </c>
      <c r="O242" t="b">
        <f>LEN(TRIM(N242))=0</f>
        <v>1</v>
      </c>
      <c r="P242" t="b">
        <f>AND(N242&gt;0, N242&lt;1000000)</f>
        <v>0</v>
      </c>
      <c r="Q242" t="s">
        <v>244</v>
      </c>
      <c r="R242" s="2" t="b">
        <f>LEN(TRIM(Q242))=0</f>
        <v>0</v>
      </c>
      <c r="S242" s="2" t="str">
        <f>IF(RIGHT(TRIM(Q242),9)="gmail.com","OK","Typo")</f>
        <v>OK</v>
      </c>
      <c r="T242" s="2" t="str">
        <f>A242&amp;D242&amp;G242&amp;I242&amp;K242&amp;N242&amp;Q242</f>
        <v>HinaMalePeshawarFinancehina77@gmail.com</v>
      </c>
      <c r="U242" s="2" t="b">
        <f>COUNTIF(T:T,T242)&gt;1</f>
        <v>0</v>
      </c>
    </row>
    <row r="243" spans="1:21">
      <c r="A243" t="s">
        <v>219</v>
      </c>
      <c r="B243" t="b">
        <f>LEN(TRIM(A243))=0</f>
        <v>0</v>
      </c>
      <c r="C243" t="b">
        <f>COUNTIF(A:A,A243)&gt;1</f>
        <v>1</v>
      </c>
      <c r="D243" t="s">
        <v>22</v>
      </c>
      <c r="E243" t="b">
        <f>LEN(TRIM(D243))=0</f>
        <v>0</v>
      </c>
      <c r="F243" t="b">
        <f>EXACT(D243,PROPER(D243))</f>
        <v>1</v>
      </c>
      <c r="G243">
        <v>44</v>
      </c>
      <c r="H243" t="b">
        <f>LEN(TRIM(G243))=0</f>
        <v>0</v>
      </c>
      <c r="I243" t="s">
        <v>37</v>
      </c>
      <c r="J243" t="b">
        <f>EXACT(I243,PROPER(I243))</f>
        <v>1</v>
      </c>
      <c r="K243" t="s">
        <v>35</v>
      </c>
      <c r="L243" t="str">
        <f>TRIM(K243)</f>
        <v>Marketing</v>
      </c>
      <c r="M243" t="b">
        <f>K243&lt;&gt;L243</f>
        <v>0</v>
      </c>
      <c r="N243">
        <v>123746.89</v>
      </c>
      <c r="O243" t="b">
        <f>LEN(TRIM(N243))=0</f>
        <v>0</v>
      </c>
      <c r="P243" t="b">
        <f>AND(N243&gt;0, N243&lt;1000000)</f>
        <v>1</v>
      </c>
      <c r="Q243" t="s">
        <v>245</v>
      </c>
      <c r="R243" s="2" t="b">
        <f>LEN(TRIM(Q243))=0</f>
        <v>0</v>
      </c>
      <c r="S243" s="2" t="str">
        <f>IF(RIGHT(TRIM(Q243),9)="gmail.com","OK","Typo")</f>
        <v>OK</v>
      </c>
      <c r="T243" s="2" t="str">
        <f>A243&amp;D243&amp;G243&amp;I243&amp;K243&amp;N243&amp;Q243</f>
        <v>HinaMale44IslamabadMarketing123746.89hina81@gmail.com</v>
      </c>
      <c r="U243" s="2" t="b">
        <f>COUNTIF(T:T,T243)&gt;1</f>
        <v>0</v>
      </c>
    </row>
    <row r="244" spans="1:21">
      <c r="A244" t="s">
        <v>219</v>
      </c>
      <c r="B244" t="b">
        <f>LEN(TRIM(A244))=0</f>
        <v>0</v>
      </c>
      <c r="C244" t="b">
        <f>COUNTIF(A:A,A244)&gt;1</f>
        <v>1</v>
      </c>
      <c r="D244" t="s">
        <v>30</v>
      </c>
      <c r="E244" t="b">
        <f>LEN(TRIM(D244))=0</f>
        <v>0</v>
      </c>
      <c r="F244" t="b">
        <f>EXACT(D244,PROPER(D244))</f>
        <v>1</v>
      </c>
      <c r="H244" t="b">
        <f>LEN(TRIM(G244))=0</f>
        <v>1</v>
      </c>
      <c r="I244" t="s">
        <v>45</v>
      </c>
      <c r="J244" t="b">
        <f>EXACT(I244,PROPER(I244))</f>
        <v>1</v>
      </c>
      <c r="K244" t="s">
        <v>29</v>
      </c>
      <c r="L244" t="str">
        <f>TRIM(K244)</f>
        <v>Finance</v>
      </c>
      <c r="M244" t="b">
        <f>K244&lt;&gt;L244</f>
        <v>0</v>
      </c>
      <c r="O244" t="b">
        <f>LEN(TRIM(N244))=0</f>
        <v>1</v>
      </c>
      <c r="P244" t="b">
        <f>AND(N244&gt;0, N244&lt;1000000)</f>
        <v>0</v>
      </c>
      <c r="Q244" t="s">
        <v>245</v>
      </c>
      <c r="R244" s="2" t="b">
        <f>LEN(TRIM(Q244))=0</f>
        <v>0</v>
      </c>
      <c r="S244" s="2" t="str">
        <f>IF(RIGHT(TRIM(Q244),9)="gmail.com","OK","Typo")</f>
        <v>OK</v>
      </c>
      <c r="T244" s="2" t="str">
        <f>A244&amp;D244&amp;G244&amp;I244&amp;K244&amp;N244&amp;Q244</f>
        <v>HinaFemalePeshawarFinancehina81@gmail.com</v>
      </c>
      <c r="U244" s="2" t="b">
        <f>COUNTIF(T:T,T244)&gt;1</f>
        <v>0</v>
      </c>
    </row>
    <row r="245" spans="1:21">
      <c r="A245" t="s">
        <v>219</v>
      </c>
      <c r="B245" t="b">
        <f>LEN(TRIM(A245))=0</f>
        <v>0</v>
      </c>
      <c r="C245" t="b">
        <f>COUNTIF(A:A,A245)&gt;1</f>
        <v>1</v>
      </c>
      <c r="D245" t="s">
        <v>22</v>
      </c>
      <c r="E245" t="b">
        <f>LEN(TRIM(D245))=0</f>
        <v>0</v>
      </c>
      <c r="F245" t="b">
        <f>EXACT(D245,PROPER(D245))</f>
        <v>1</v>
      </c>
      <c r="G245">
        <v>22</v>
      </c>
      <c r="H245" t="b">
        <f>LEN(TRIM(G245))=0</f>
        <v>0</v>
      </c>
      <c r="I245" t="s">
        <v>37</v>
      </c>
      <c r="J245" t="b">
        <f>EXACT(I245,PROPER(I245))</f>
        <v>1</v>
      </c>
      <c r="K245" t="s">
        <v>47</v>
      </c>
      <c r="L245" t="str">
        <f>TRIM(K245)</f>
        <v>Sales</v>
      </c>
      <c r="M245" t="b">
        <f>K245&lt;&gt;L245</f>
        <v>1</v>
      </c>
      <c r="N245">
        <v>94220.6</v>
      </c>
      <c r="O245" t="b">
        <f>LEN(TRIM(N245))=0</f>
        <v>0</v>
      </c>
      <c r="P245" t="b">
        <f>AND(N245&gt;0, N245&lt;1000000)</f>
        <v>1</v>
      </c>
      <c r="Q245" t="s">
        <v>246</v>
      </c>
      <c r="R245" s="2" t="b">
        <f>LEN(TRIM(Q245))=0</f>
        <v>0</v>
      </c>
      <c r="S245" s="2" t="str">
        <f>IF(RIGHT(TRIM(Q245),9)="gmail.com","OK","Typo")</f>
        <v>OK</v>
      </c>
      <c r="T245" s="2" t="str">
        <f>A245&amp;D245&amp;G245&amp;I245&amp;K245&amp;N245&amp;Q245</f>
        <v>HinaMale22Islamabad Sales 94220.6hina87@gmail.com</v>
      </c>
      <c r="U245" s="2" t="b">
        <f>COUNTIF(T:T,T245)&gt;1</f>
        <v>0</v>
      </c>
    </row>
    <row r="246" spans="1:21">
      <c r="A246" t="s">
        <v>219</v>
      </c>
      <c r="B246" t="b">
        <f>LEN(TRIM(A246))=0</f>
        <v>0</v>
      </c>
      <c r="C246" t="b">
        <f>COUNTIF(A:A,A246)&gt;1</f>
        <v>1</v>
      </c>
      <c r="D246" t="s">
        <v>30</v>
      </c>
      <c r="E246" t="b">
        <f>LEN(TRIM(D246))=0</f>
        <v>0</v>
      </c>
      <c r="F246" t="b">
        <f>EXACT(D246,PROPER(D246))</f>
        <v>1</v>
      </c>
      <c r="G246">
        <v>26</v>
      </c>
      <c r="H246" t="b">
        <f>LEN(TRIM(G246))=0</f>
        <v>0</v>
      </c>
      <c r="I246" t="s">
        <v>23</v>
      </c>
      <c r="J246" t="b">
        <f>EXACT(I246,PROPER(I246))</f>
        <v>1</v>
      </c>
      <c r="K246" t="s">
        <v>24</v>
      </c>
      <c r="L246" t="str">
        <f>TRIM(K246)</f>
        <v>HR</v>
      </c>
      <c r="M246" t="b">
        <f>K246&lt;&gt;L246</f>
        <v>0</v>
      </c>
      <c r="N246">
        <v>125683.94</v>
      </c>
      <c r="O246" t="b">
        <f>LEN(TRIM(N246))=0</f>
        <v>0</v>
      </c>
      <c r="P246" t="b">
        <f>AND(N246&gt;0, N246&lt;1000000)</f>
        <v>1</v>
      </c>
      <c r="Q246" t="s">
        <v>247</v>
      </c>
      <c r="R246" s="2" t="b">
        <f>LEN(TRIM(Q246))=0</f>
        <v>0</v>
      </c>
      <c r="S246" s="2" t="str">
        <f>IF(RIGHT(TRIM(Q246),9)="gmail.com","OK","Typo")</f>
        <v>OK</v>
      </c>
      <c r="T246" s="2" t="str">
        <f>A246&amp;D246&amp;G246&amp;I246&amp;K246&amp;N246&amp;Q246</f>
        <v>HinaFemale26QuettaHR125683.94hina90@gmail.com</v>
      </c>
      <c r="U246" s="2" t="b">
        <f>COUNTIF(T:T,T246)&gt;1</f>
        <v>0</v>
      </c>
    </row>
    <row r="247" spans="1:21">
      <c r="A247" t="s">
        <v>219</v>
      </c>
      <c r="B247" t="b">
        <f>LEN(TRIM(A247))=0</f>
        <v>0</v>
      </c>
      <c r="C247" t="b">
        <f>COUNTIF(A:A,A247)&gt;1</f>
        <v>1</v>
      </c>
      <c r="D247" t="s">
        <v>30</v>
      </c>
      <c r="E247" t="b">
        <f>LEN(TRIM(D247))=0</f>
        <v>0</v>
      </c>
      <c r="F247" t="b">
        <f>EXACT(D247,PROPER(D247))</f>
        <v>1</v>
      </c>
      <c r="G247">
        <v>31</v>
      </c>
      <c r="H247" t="b">
        <f>LEN(TRIM(G247))=0</f>
        <v>0</v>
      </c>
      <c r="I247" t="s">
        <v>23</v>
      </c>
      <c r="J247" t="b">
        <f>EXACT(I247,PROPER(I247))</f>
        <v>1</v>
      </c>
      <c r="K247" t="s">
        <v>26</v>
      </c>
      <c r="L247" t="str">
        <f>TRIM(K247)</f>
        <v>HR</v>
      </c>
      <c r="M247" t="b">
        <f>K247&lt;&gt;L247</f>
        <v>1</v>
      </c>
      <c r="N247">
        <v>114188.75</v>
      </c>
      <c r="O247" t="b">
        <f>LEN(TRIM(N247))=0</f>
        <v>0</v>
      </c>
      <c r="P247" t="b">
        <f>AND(N247&gt;0, N247&lt;1000000)</f>
        <v>1</v>
      </c>
      <c r="Q247" t="s">
        <v>248</v>
      </c>
      <c r="R247" s="2" t="b">
        <f>LEN(TRIM(Q247))=0</f>
        <v>0</v>
      </c>
      <c r="S247" s="2" t="str">
        <f>IF(RIGHT(TRIM(Q247),9)="gmail.com","OK","Typo")</f>
        <v>OK</v>
      </c>
      <c r="T247" s="2" t="str">
        <f>A247&amp;D247&amp;G247&amp;I247&amp;K247&amp;N247&amp;Q247</f>
        <v>HinaFemale31Quetta HR 114188.75hina93@gmail.com</v>
      </c>
      <c r="U247" s="2" t="b">
        <f>COUNTIF(T:T,T247)&gt;1</f>
        <v>0</v>
      </c>
    </row>
    <row r="248" spans="1:21">
      <c r="A248" t="s">
        <v>219</v>
      </c>
      <c r="B248" t="b">
        <f>LEN(TRIM(A248))=0</f>
        <v>0</v>
      </c>
      <c r="C248" t="b">
        <f>COUNTIF(A:A,A248)&gt;1</f>
        <v>1</v>
      </c>
      <c r="D248" t="s">
        <v>30</v>
      </c>
      <c r="E248" t="b">
        <f>LEN(TRIM(D248))=0</f>
        <v>0</v>
      </c>
      <c r="F248" t="b">
        <f>EXACT(D248,PROPER(D248))</f>
        <v>1</v>
      </c>
      <c r="G248">
        <v>57</v>
      </c>
      <c r="H248" t="b">
        <f>LEN(TRIM(G248))=0</f>
        <v>0</v>
      </c>
      <c r="I248" t="s">
        <v>28</v>
      </c>
      <c r="J248" t="b">
        <f>EXACT(I248,PROPER(I248))</f>
        <v>1</v>
      </c>
      <c r="K248" t="s">
        <v>42</v>
      </c>
      <c r="L248" t="str">
        <f>TRIM(K248)</f>
        <v>IT</v>
      </c>
      <c r="M248" t="b">
        <f>K248&lt;&gt;L248</f>
        <v>0</v>
      </c>
      <c r="O248" t="b">
        <f>LEN(TRIM(N248))=0</f>
        <v>1</v>
      </c>
      <c r="P248" t="b">
        <f>AND(N248&gt;0, N248&lt;1000000)</f>
        <v>0</v>
      </c>
      <c r="Q248" t="s">
        <v>249</v>
      </c>
      <c r="R248" s="2" t="b">
        <f>LEN(TRIM(Q248))=0</f>
        <v>0</v>
      </c>
      <c r="S248" s="2" t="str">
        <f>IF(RIGHT(TRIM(Q248),9)="gmail.com","OK","Typo")</f>
        <v>OK</v>
      </c>
      <c r="T248" s="2" t="str">
        <f>A248&amp;D248&amp;G248&amp;I248&amp;K248&amp;N248&amp;Q248</f>
        <v>HinaFemale57KarachiIThina96@gmail.com</v>
      </c>
      <c r="U248" s="2" t="b">
        <f>COUNTIF(T:T,T248)&gt;1</f>
        <v>0</v>
      </c>
    </row>
    <row r="249" spans="1:21">
      <c r="A249" t="s">
        <v>219</v>
      </c>
      <c r="B249" t="b">
        <f>LEN(TRIM(A249))=0</f>
        <v>0</v>
      </c>
      <c r="C249" t="b">
        <f>COUNTIF(A:A,A249)&gt;1</f>
        <v>1</v>
      </c>
      <c r="D249" t="s">
        <v>30</v>
      </c>
      <c r="E249" t="b">
        <f>LEN(TRIM(D249))=0</f>
        <v>0</v>
      </c>
      <c r="F249" t="b">
        <f>EXACT(D249,PROPER(D249))</f>
        <v>1</v>
      </c>
      <c r="G249">
        <v>49</v>
      </c>
      <c r="H249" t="b">
        <f>LEN(TRIM(G249))=0</f>
        <v>0</v>
      </c>
      <c r="I249" t="s">
        <v>37</v>
      </c>
      <c r="J249" t="b">
        <f>EXACT(I249,PROPER(I249))</f>
        <v>1</v>
      </c>
      <c r="K249" t="s">
        <v>38</v>
      </c>
      <c r="L249" t="str">
        <f>TRIM(K249)</f>
        <v>Sales</v>
      </c>
      <c r="M249" t="b">
        <f>K249&lt;&gt;L249</f>
        <v>0</v>
      </c>
      <c r="N249">
        <v>109155.95</v>
      </c>
      <c r="O249" t="b">
        <f>LEN(TRIM(N249))=0</f>
        <v>0</v>
      </c>
      <c r="P249" t="b">
        <f>AND(N249&gt;0, N249&lt;1000000)</f>
        <v>1</v>
      </c>
      <c r="Q249" t="s">
        <v>250</v>
      </c>
      <c r="R249" s="2" t="b">
        <f>LEN(TRIM(Q249))=0</f>
        <v>0</v>
      </c>
      <c r="S249" s="2" t="str">
        <f>IF(RIGHT(TRIM(Q249),9)="gmail.com","OK","Typo")</f>
        <v>OK</v>
      </c>
      <c r="T249" s="2" t="str">
        <f>A249&amp;D249&amp;G249&amp;I249&amp;K249&amp;N249&amp;Q249</f>
        <v>HinaFemale49IslamabadSales109155.95hina99@gmail.com</v>
      </c>
      <c r="U249" s="2" t="b">
        <f>COUNTIF(T:T,T249)&gt;1</f>
        <v>0</v>
      </c>
    </row>
    <row r="250" spans="1:21">
      <c r="A250" t="s">
        <v>219</v>
      </c>
      <c r="B250" t="b">
        <f>LEN(TRIM(A250))=0</f>
        <v>0</v>
      </c>
      <c r="C250" t="b">
        <f>COUNTIF(A:A,A250)&gt;1</f>
        <v>1</v>
      </c>
      <c r="D250" t="s">
        <v>30</v>
      </c>
      <c r="E250" t="b">
        <f>LEN(TRIM(D250))=0</f>
        <v>0</v>
      </c>
      <c r="F250" t="b">
        <f>EXACT(D250,PROPER(D250))</f>
        <v>1</v>
      </c>
      <c r="G250">
        <v>36</v>
      </c>
      <c r="H250" t="b">
        <f>LEN(TRIM(G250))=0</f>
        <v>0</v>
      </c>
      <c r="I250" t="s">
        <v>23</v>
      </c>
      <c r="J250" t="b">
        <f>EXACT(I250,PROPER(I250))</f>
        <v>1</v>
      </c>
      <c r="K250" t="s">
        <v>35</v>
      </c>
      <c r="L250" t="str">
        <f>TRIM(K250)</f>
        <v>Marketing</v>
      </c>
      <c r="M250" t="b">
        <f>K250&lt;&gt;L250</f>
        <v>0</v>
      </c>
      <c r="O250" t="b">
        <f>LEN(TRIM(N250))=0</f>
        <v>1</v>
      </c>
      <c r="P250" t="b">
        <f>AND(N250&gt;0, N250&lt;1000000)</f>
        <v>0</v>
      </c>
      <c r="Q250" t="s">
        <v>250</v>
      </c>
      <c r="R250" s="2" t="b">
        <f>LEN(TRIM(Q250))=0</f>
        <v>0</v>
      </c>
      <c r="S250" s="2" t="str">
        <f>IF(RIGHT(TRIM(Q250),9)="gmail.com","OK","Typo")</f>
        <v>OK</v>
      </c>
      <c r="T250" s="2" t="str">
        <f>A250&amp;D250&amp;G250&amp;I250&amp;K250&amp;N250&amp;Q250</f>
        <v>HinaFemale36QuettaMarketinghina99@gmail.com</v>
      </c>
      <c r="U250" s="2" t="b">
        <f>COUNTIF(T:T,T250)&gt;1</f>
        <v>0</v>
      </c>
    </row>
    <row r="251" spans="1:21">
      <c r="A251" t="s">
        <v>251</v>
      </c>
      <c r="B251" t="b">
        <f>LEN(TRIM(A251))=0</f>
        <v>0</v>
      </c>
      <c r="C251" t="b">
        <f>COUNTIF(A:A,A251)&gt;1</f>
        <v>1</v>
      </c>
      <c r="D251" t="s">
        <v>22</v>
      </c>
      <c r="E251" t="b">
        <f>LEN(TRIM(D251))=0</f>
        <v>0</v>
      </c>
      <c r="F251" t="b">
        <f>EXACT(D251,PROPER(D251))</f>
        <v>1</v>
      </c>
      <c r="H251" t="b">
        <f>LEN(TRIM(G251))=0</f>
        <v>1</v>
      </c>
      <c r="I251" t="s">
        <v>37</v>
      </c>
      <c r="J251" t="b">
        <f>EXACT(I251,PROPER(I251))</f>
        <v>1</v>
      </c>
      <c r="K251" t="s">
        <v>24</v>
      </c>
      <c r="L251" t="str">
        <f>TRIM(K251)</f>
        <v>HR</v>
      </c>
      <c r="M251" t="b">
        <f>K251&lt;&gt;L251</f>
        <v>0</v>
      </c>
      <c r="O251" t="b">
        <f>LEN(TRIM(N251))=0</f>
        <v>1</v>
      </c>
      <c r="P251" t="b">
        <f>AND(N251&gt;0, N251&lt;1000000)</f>
        <v>0</v>
      </c>
      <c r="Q251" t="s">
        <v>252</v>
      </c>
      <c r="R251" s="2" t="b">
        <f>LEN(TRIM(Q251))=0</f>
        <v>0</v>
      </c>
      <c r="S251" s="2" t="str">
        <f>IF(RIGHT(TRIM(Q251),9)="gmail.com","OK","Typo")</f>
        <v>OK</v>
      </c>
      <c r="T251" s="2" t="str">
        <f>A251&amp;D251&amp;G251&amp;I251&amp;K251&amp;N251&amp;Q251</f>
        <v>SanaMaleIslamabadHRsana10@gmail.com</v>
      </c>
      <c r="U251" s="2" t="b">
        <f>COUNTIF(T:T,T251)&gt;1</f>
        <v>0</v>
      </c>
    </row>
    <row r="252" spans="1:21">
      <c r="A252" t="s">
        <v>251</v>
      </c>
      <c r="B252" t="b">
        <f>LEN(TRIM(A252))=0</f>
        <v>0</v>
      </c>
      <c r="C252" t="b">
        <f>COUNTIF(A:A,A252)&gt;1</f>
        <v>1</v>
      </c>
      <c r="D252" t="s">
        <v>30</v>
      </c>
      <c r="E252" t="b">
        <f>LEN(TRIM(D252))=0</f>
        <v>0</v>
      </c>
      <c r="F252" t="b">
        <f>EXACT(D252,PROPER(D252))</f>
        <v>1</v>
      </c>
      <c r="H252" t="b">
        <f>LEN(TRIM(G252))=0</f>
        <v>1</v>
      </c>
      <c r="I252" t="s">
        <v>45</v>
      </c>
      <c r="J252" t="b">
        <f>EXACT(I252,PROPER(I252))</f>
        <v>1</v>
      </c>
      <c r="K252" t="s">
        <v>35</v>
      </c>
      <c r="L252" t="str">
        <f>TRIM(K252)</f>
        <v>Marketing</v>
      </c>
      <c r="M252" t="b">
        <f>K252&lt;&gt;L252</f>
        <v>0</v>
      </c>
      <c r="N252">
        <v>119474.82</v>
      </c>
      <c r="O252" t="b">
        <f>LEN(TRIM(N252))=0</f>
        <v>0</v>
      </c>
      <c r="P252" t="b">
        <f>AND(N252&gt;0, N252&lt;1000000)</f>
        <v>1</v>
      </c>
      <c r="Q252" t="s">
        <v>253</v>
      </c>
      <c r="R252" s="2" t="b">
        <f>LEN(TRIM(Q252))=0</f>
        <v>0</v>
      </c>
      <c r="S252" s="2" t="str">
        <f>IF(RIGHT(TRIM(Q252),9)="gmail.com","OK","Typo")</f>
        <v>OK</v>
      </c>
      <c r="T252" s="2" t="str">
        <f>A252&amp;D252&amp;G252&amp;I252&amp;K252&amp;N252&amp;Q252</f>
        <v>SanaFemalePeshawarMarketing119474.82sana11@gmail.com</v>
      </c>
      <c r="U252" s="2" t="b">
        <f>COUNTIF(T:T,T252)&gt;1</f>
        <v>0</v>
      </c>
    </row>
    <row r="253" spans="1:21">
      <c r="A253" t="s">
        <v>251</v>
      </c>
      <c r="B253" t="b">
        <f>LEN(TRIM(A253))=0</f>
        <v>0</v>
      </c>
      <c r="C253" t="b">
        <f>COUNTIF(A:A,A253)&gt;1</f>
        <v>1</v>
      </c>
      <c r="D253" t="s">
        <v>30</v>
      </c>
      <c r="E253" t="b">
        <f>LEN(TRIM(D253))=0</f>
        <v>0</v>
      </c>
      <c r="F253" t="b">
        <f>EXACT(D253,PROPER(D253))</f>
        <v>1</v>
      </c>
      <c r="G253">
        <v>28</v>
      </c>
      <c r="H253" t="b">
        <f>LEN(TRIM(G253))=0</f>
        <v>0</v>
      </c>
      <c r="I253" t="s">
        <v>32</v>
      </c>
      <c r="J253" t="b">
        <f>EXACT(I253,PROPER(I253))</f>
        <v>1</v>
      </c>
      <c r="K253" t="s">
        <v>42</v>
      </c>
      <c r="L253" t="str">
        <f>TRIM(K253)</f>
        <v>IT</v>
      </c>
      <c r="M253" t="b">
        <f>K253&lt;&gt;L253</f>
        <v>0</v>
      </c>
      <c r="O253" t="b">
        <f>LEN(TRIM(N253))=0</f>
        <v>1</v>
      </c>
      <c r="P253" t="b">
        <f>AND(N253&gt;0, N253&lt;1000000)</f>
        <v>0</v>
      </c>
      <c r="Q253" t="s">
        <v>254</v>
      </c>
      <c r="R253" s="2" t="b">
        <f>LEN(TRIM(Q253))=0</f>
        <v>0</v>
      </c>
      <c r="S253" s="2" t="str">
        <f>IF(RIGHT(TRIM(Q253),9)="gmail.com","OK","Typo")</f>
        <v>OK</v>
      </c>
      <c r="T253" s="2" t="str">
        <f>A253&amp;D253&amp;G253&amp;I253&amp;K253&amp;N253&amp;Q253</f>
        <v>SanaFemale28LahoreITsana12@gmail.com</v>
      </c>
      <c r="U253" s="2" t="b">
        <f>COUNTIF(T:T,T253)&gt;1</f>
        <v>0</v>
      </c>
    </row>
    <row r="254" spans="1:21">
      <c r="A254" t="s">
        <v>251</v>
      </c>
      <c r="B254" t="b">
        <f>LEN(TRIM(A254))=0</f>
        <v>0</v>
      </c>
      <c r="C254" t="b">
        <f>COUNTIF(A:A,A254)&gt;1</f>
        <v>1</v>
      </c>
      <c r="D254" t="s">
        <v>22</v>
      </c>
      <c r="E254" t="b">
        <f>LEN(TRIM(D254))=0</f>
        <v>0</v>
      </c>
      <c r="F254" t="b">
        <f>EXACT(D254,PROPER(D254))</f>
        <v>1</v>
      </c>
      <c r="G254">
        <v>45</v>
      </c>
      <c r="H254" t="b">
        <f>LEN(TRIM(G254))=0</f>
        <v>0</v>
      </c>
      <c r="I254" t="s">
        <v>45</v>
      </c>
      <c r="J254" t="b">
        <f>EXACT(I254,PROPER(I254))</f>
        <v>1</v>
      </c>
      <c r="K254" t="s">
        <v>35</v>
      </c>
      <c r="L254" t="str">
        <f>TRIM(K254)</f>
        <v>Marketing</v>
      </c>
      <c r="M254" t="b">
        <f>K254&lt;&gt;L254</f>
        <v>0</v>
      </c>
      <c r="N254">
        <v>145705.21</v>
      </c>
      <c r="O254" t="b">
        <f>LEN(TRIM(N254))=0</f>
        <v>0</v>
      </c>
      <c r="P254" t="b">
        <f>AND(N254&gt;0, N254&lt;1000000)</f>
        <v>1</v>
      </c>
      <c r="Q254" t="s">
        <v>255</v>
      </c>
      <c r="R254" s="2" t="b">
        <f>LEN(TRIM(Q254))=0</f>
        <v>0</v>
      </c>
      <c r="S254" s="2" t="str">
        <f>IF(RIGHT(TRIM(Q254),9)="gmail.com","OK","Typo")</f>
        <v>OK</v>
      </c>
      <c r="T254" s="2" t="str">
        <f>A254&amp;D254&amp;G254&amp;I254&amp;K254&amp;N254&amp;Q254</f>
        <v>SanaMale45PeshawarMarketing145705.21sana13@gmail.com</v>
      </c>
      <c r="U254" s="2" t="b">
        <f>COUNTIF(T:T,T254)&gt;1</f>
        <v>0</v>
      </c>
    </row>
    <row r="255" spans="1:21">
      <c r="A255" t="s">
        <v>251</v>
      </c>
      <c r="B255" t="b">
        <f>LEN(TRIM(A255))=0</f>
        <v>0</v>
      </c>
      <c r="C255" t="b">
        <f>COUNTIF(A:A,A255)&gt;1</f>
        <v>1</v>
      </c>
      <c r="D255" t="s">
        <v>30</v>
      </c>
      <c r="E255" t="b">
        <f>LEN(TRIM(D255))=0</f>
        <v>0</v>
      </c>
      <c r="F255" t="b">
        <f>EXACT(D255,PROPER(D255))</f>
        <v>1</v>
      </c>
      <c r="G255">
        <v>48</v>
      </c>
      <c r="H255" t="b">
        <f>LEN(TRIM(G255))=0</f>
        <v>0</v>
      </c>
      <c r="I255" t="s">
        <v>32</v>
      </c>
      <c r="J255" t="b">
        <f>EXACT(I255,PROPER(I255))</f>
        <v>1</v>
      </c>
      <c r="K255" t="s">
        <v>29</v>
      </c>
      <c r="L255" t="str">
        <f>TRIM(K255)</f>
        <v>Finance</v>
      </c>
      <c r="M255" t="b">
        <f>K255&lt;&gt;L255</f>
        <v>0</v>
      </c>
      <c r="O255" t="b">
        <f>LEN(TRIM(N255))=0</f>
        <v>1</v>
      </c>
      <c r="P255" t="b">
        <f>AND(N255&gt;0, N255&lt;1000000)</f>
        <v>0</v>
      </c>
      <c r="Q255" t="s">
        <v>256</v>
      </c>
      <c r="R255" s="2" t="b">
        <f>LEN(TRIM(Q255))=0</f>
        <v>0</v>
      </c>
      <c r="S255" s="2" t="str">
        <f>IF(RIGHT(TRIM(Q255),9)="gmail.com","OK","Typo")</f>
        <v>OK</v>
      </c>
      <c r="T255" s="2" t="str">
        <f>A255&amp;D255&amp;G255&amp;I255&amp;K255&amp;N255&amp;Q255</f>
        <v>SanaFemale48LahoreFinancesana15@gmail.com</v>
      </c>
      <c r="U255" s="2" t="b">
        <f>COUNTIF(T:T,T255)&gt;1</f>
        <v>0</v>
      </c>
    </row>
    <row r="256" spans="1:21">
      <c r="A256" t="s">
        <v>251</v>
      </c>
      <c r="B256" t="b">
        <f>LEN(TRIM(A256))=0</f>
        <v>0</v>
      </c>
      <c r="C256" t="b">
        <f>COUNTIF(A:A,A256)&gt;1</f>
        <v>1</v>
      </c>
      <c r="D256" t="s">
        <v>22</v>
      </c>
      <c r="E256" t="b">
        <f>LEN(TRIM(D256))=0</f>
        <v>0</v>
      </c>
      <c r="F256" t="b">
        <f>EXACT(D256,PROPER(D256))</f>
        <v>1</v>
      </c>
      <c r="G256">
        <v>29</v>
      </c>
      <c r="H256" t="b">
        <f>LEN(TRIM(G256))=0</f>
        <v>0</v>
      </c>
      <c r="I256" t="s">
        <v>37</v>
      </c>
      <c r="J256" t="b">
        <f>EXACT(I256,PROPER(I256))</f>
        <v>1</v>
      </c>
      <c r="K256" t="s">
        <v>24</v>
      </c>
      <c r="L256" t="str">
        <f>TRIM(K256)</f>
        <v>HR</v>
      </c>
      <c r="M256" t="b">
        <f>K256&lt;&gt;L256</f>
        <v>0</v>
      </c>
      <c r="O256" t="b">
        <f>LEN(TRIM(N256))=0</f>
        <v>1</v>
      </c>
      <c r="P256" t="b">
        <f>AND(N256&gt;0, N256&lt;1000000)</f>
        <v>0</v>
      </c>
      <c r="Q256" t="s">
        <v>257</v>
      </c>
      <c r="R256" s="2" t="b">
        <f>LEN(TRIM(Q256))=0</f>
        <v>0</v>
      </c>
      <c r="S256" s="2" t="str">
        <f>IF(RIGHT(TRIM(Q256),9)="gmail.com","OK","Typo")</f>
        <v>OK</v>
      </c>
      <c r="T256" s="2" t="str">
        <f>A256&amp;D256&amp;G256&amp;I256&amp;K256&amp;N256&amp;Q256</f>
        <v>SanaMale29IslamabadHRsana16@gmail.com</v>
      </c>
      <c r="U256" s="2" t="b">
        <f>COUNTIF(T:T,T256)&gt;1</f>
        <v>0</v>
      </c>
    </row>
    <row r="257" spans="1:21">
      <c r="A257" t="s">
        <v>251</v>
      </c>
      <c r="B257" t="b">
        <f>LEN(TRIM(A257))=0</f>
        <v>0</v>
      </c>
      <c r="C257" t="b">
        <f>COUNTIF(A:A,A257)&gt;1</f>
        <v>1</v>
      </c>
      <c r="D257" t="s">
        <v>30</v>
      </c>
      <c r="E257" t="b">
        <f>LEN(TRIM(D257))=0</f>
        <v>0</v>
      </c>
      <c r="F257" t="b">
        <f>EXACT(D257,PROPER(D257))</f>
        <v>1</v>
      </c>
      <c r="G257">
        <v>48</v>
      </c>
      <c r="H257" t="b">
        <f>LEN(TRIM(G257))=0</f>
        <v>0</v>
      </c>
      <c r="I257" t="s">
        <v>32</v>
      </c>
      <c r="J257" t="b">
        <f>EXACT(I257,PROPER(I257))</f>
        <v>1</v>
      </c>
      <c r="K257" t="s">
        <v>35</v>
      </c>
      <c r="L257" t="str">
        <f>TRIM(K257)</f>
        <v>Marketing</v>
      </c>
      <c r="M257" t="b">
        <f>K257&lt;&gt;L257</f>
        <v>0</v>
      </c>
      <c r="O257" t="b">
        <f>LEN(TRIM(N257))=0</f>
        <v>1</v>
      </c>
      <c r="P257" t="b">
        <f>AND(N257&gt;0, N257&lt;1000000)</f>
        <v>0</v>
      </c>
      <c r="Q257" t="s">
        <v>258</v>
      </c>
      <c r="R257" s="2" t="b">
        <f>LEN(TRIM(Q257))=0</f>
        <v>0</v>
      </c>
      <c r="S257" s="2" t="str">
        <f>IF(RIGHT(TRIM(Q257),9)="gmail.com","OK","Typo")</f>
        <v>OK</v>
      </c>
      <c r="T257" s="2" t="str">
        <f>A257&amp;D257&amp;G257&amp;I257&amp;K257&amp;N257&amp;Q257</f>
        <v>SanaFemale48LahoreMarketingsana17@gmail.com</v>
      </c>
      <c r="U257" s="2" t="b">
        <f>COUNTIF(T:T,T257)&gt;1</f>
        <v>0</v>
      </c>
    </row>
    <row r="258" spans="1:21">
      <c r="A258" t="s">
        <v>251</v>
      </c>
      <c r="B258" t="b">
        <f>LEN(TRIM(A258))=0</f>
        <v>0</v>
      </c>
      <c r="C258" t="b">
        <f>COUNTIF(A:A,A258)&gt;1</f>
        <v>1</v>
      </c>
      <c r="D258" t="s">
        <v>30</v>
      </c>
      <c r="E258" t="b">
        <f>LEN(TRIM(D258))=0</f>
        <v>0</v>
      </c>
      <c r="F258" t="b">
        <f>EXACT(D258,PROPER(D258))</f>
        <v>1</v>
      </c>
      <c r="H258" t="b">
        <f>LEN(TRIM(G258))=0</f>
        <v>1</v>
      </c>
      <c r="I258" t="s">
        <v>37</v>
      </c>
      <c r="J258" t="b">
        <f>EXACT(I258,PROPER(I258))</f>
        <v>1</v>
      </c>
      <c r="K258" t="s">
        <v>38</v>
      </c>
      <c r="L258" t="str">
        <f>TRIM(K258)</f>
        <v>Sales</v>
      </c>
      <c r="M258" t="b">
        <f>K258&lt;&gt;L258</f>
        <v>0</v>
      </c>
      <c r="O258" t="b">
        <f>LEN(TRIM(N258))=0</f>
        <v>1</v>
      </c>
      <c r="P258" t="b">
        <f>AND(N258&gt;0, N258&lt;1000000)</f>
        <v>0</v>
      </c>
      <c r="Q258" t="s">
        <v>258</v>
      </c>
      <c r="R258" s="2" t="b">
        <f>LEN(TRIM(Q258))=0</f>
        <v>0</v>
      </c>
      <c r="S258" s="2" t="str">
        <f>IF(RIGHT(TRIM(Q258),9)="gmail.com","OK","Typo")</f>
        <v>OK</v>
      </c>
      <c r="T258" s="2" t="str">
        <f>A258&amp;D258&amp;G258&amp;I258&amp;K258&amp;N258&amp;Q258</f>
        <v>SanaFemaleIslamabadSalessana17@gmail.com</v>
      </c>
      <c r="U258" s="2" t="b">
        <f>COUNTIF(T:T,T258)&gt;1</f>
        <v>0</v>
      </c>
    </row>
    <row r="259" spans="1:21">
      <c r="A259" t="s">
        <v>251</v>
      </c>
      <c r="B259" t="b">
        <f>LEN(TRIM(A259))=0</f>
        <v>0</v>
      </c>
      <c r="C259" t="b">
        <f>COUNTIF(A:A,A259)&gt;1</f>
        <v>1</v>
      </c>
      <c r="D259" t="s">
        <v>30</v>
      </c>
      <c r="E259" t="b">
        <f>LEN(TRIM(D259))=0</f>
        <v>0</v>
      </c>
      <c r="F259" t="b">
        <f>EXACT(D259,PROPER(D259))</f>
        <v>1</v>
      </c>
      <c r="H259" t="b">
        <f>LEN(TRIM(G259))=0</f>
        <v>1</v>
      </c>
      <c r="I259" t="s">
        <v>37</v>
      </c>
      <c r="J259" t="b">
        <f>EXACT(I259,PROPER(I259))</f>
        <v>1</v>
      </c>
      <c r="K259" t="s">
        <v>24</v>
      </c>
      <c r="L259" t="str">
        <f>TRIM(K259)</f>
        <v>HR</v>
      </c>
      <c r="M259" t="b">
        <f>K259&lt;&gt;L259</f>
        <v>0</v>
      </c>
      <c r="O259" t="b">
        <f>LEN(TRIM(N259))=0</f>
        <v>1</v>
      </c>
      <c r="P259" t="b">
        <f>AND(N259&gt;0, N259&lt;1000000)</f>
        <v>0</v>
      </c>
      <c r="Q259" t="s">
        <v>259</v>
      </c>
      <c r="R259" s="2" t="b">
        <f>LEN(TRIM(Q259))=0</f>
        <v>0</v>
      </c>
      <c r="S259" s="2" t="str">
        <f>IF(RIGHT(TRIM(Q259),9)="gmail.com","OK","Typo")</f>
        <v>OK</v>
      </c>
      <c r="T259" s="2" t="str">
        <f>A259&amp;D259&amp;G259&amp;I259&amp;K259&amp;N259&amp;Q259</f>
        <v>SanaFemaleIslamabadHRsana18@gmail.com</v>
      </c>
      <c r="U259" s="2" t="b">
        <f>COUNTIF(T:T,T259)&gt;1</f>
        <v>0</v>
      </c>
    </row>
    <row r="260" spans="1:21">
      <c r="A260" t="s">
        <v>251</v>
      </c>
      <c r="B260" t="b">
        <f>LEN(TRIM(A260))=0</f>
        <v>0</v>
      </c>
      <c r="C260" t="b">
        <f>COUNTIF(A:A,A260)&gt;1</f>
        <v>1</v>
      </c>
      <c r="D260" t="s">
        <v>22</v>
      </c>
      <c r="E260" t="b">
        <f>LEN(TRIM(D260))=0</f>
        <v>0</v>
      </c>
      <c r="F260" t="b">
        <f>EXACT(D260,PROPER(D260))</f>
        <v>1</v>
      </c>
      <c r="H260" t="b">
        <f>LEN(TRIM(G260))=0</f>
        <v>1</v>
      </c>
      <c r="I260" t="s">
        <v>157</v>
      </c>
      <c r="J260" t="b">
        <f>EXACT(I260,PROPER(I260))</f>
        <v>0</v>
      </c>
      <c r="K260" t="s">
        <v>42</v>
      </c>
      <c r="L260" t="str">
        <f>TRIM(K260)</f>
        <v>IT</v>
      </c>
      <c r="M260" t="b">
        <f>K260&lt;&gt;L260</f>
        <v>0</v>
      </c>
      <c r="N260">
        <v>44623.62</v>
      </c>
      <c r="O260" t="b">
        <f>LEN(TRIM(N260))=0</f>
        <v>0</v>
      </c>
      <c r="P260" t="b">
        <f>AND(N260&gt;0, N260&lt;1000000)</f>
        <v>1</v>
      </c>
      <c r="Q260" t="s">
        <v>260</v>
      </c>
      <c r="R260" s="2" t="b">
        <f>LEN(TRIM(Q260))=0</f>
        <v>0</v>
      </c>
      <c r="S260" s="2" t="str">
        <f>IF(RIGHT(TRIM(Q260),9)="gmail.com","OK","Typo")</f>
        <v>OK</v>
      </c>
      <c r="T260" s="2" t="str">
        <f>A260&amp;D260&amp;G260&amp;I260&amp;K260&amp;N260&amp;Q260</f>
        <v>SanaMaleislamabadIT44623.62sana2@gmail.com</v>
      </c>
      <c r="U260" s="2" t="b">
        <f>COUNTIF(T:T,T260)&gt;1</f>
        <v>0</v>
      </c>
    </row>
    <row r="261" spans="1:21">
      <c r="A261" t="s">
        <v>251</v>
      </c>
      <c r="B261" t="b">
        <f>LEN(TRIM(A261))=0</f>
        <v>0</v>
      </c>
      <c r="C261" t="b">
        <f>COUNTIF(A:A,A261)&gt;1</f>
        <v>1</v>
      </c>
      <c r="D261" t="s">
        <v>30</v>
      </c>
      <c r="E261" t="b">
        <f>LEN(TRIM(D261))=0</f>
        <v>0</v>
      </c>
      <c r="F261" t="b">
        <f>EXACT(D261,PROPER(D261))</f>
        <v>1</v>
      </c>
      <c r="H261" t="b">
        <f>LEN(TRIM(G261))=0</f>
        <v>1</v>
      </c>
      <c r="I261" t="s">
        <v>45</v>
      </c>
      <c r="J261" t="b">
        <f>EXACT(I261,PROPER(I261))</f>
        <v>1</v>
      </c>
      <c r="K261" t="s">
        <v>38</v>
      </c>
      <c r="L261" t="str">
        <f>TRIM(K261)</f>
        <v>Sales</v>
      </c>
      <c r="M261" t="b">
        <f>K261&lt;&gt;L261</f>
        <v>0</v>
      </c>
      <c r="N261">
        <v>68284.429999999993</v>
      </c>
      <c r="O261" t="b">
        <f>LEN(TRIM(N261))=0</f>
        <v>0</v>
      </c>
      <c r="P261" t="b">
        <f>AND(N261&gt;0, N261&lt;1000000)</f>
        <v>1</v>
      </c>
      <c r="Q261" t="s">
        <v>261</v>
      </c>
      <c r="R261" s="2" t="b">
        <f>LEN(TRIM(Q261))=0</f>
        <v>0</v>
      </c>
      <c r="S261" s="2" t="str">
        <f>IF(RIGHT(TRIM(Q261),9)="gmail.com","OK","Typo")</f>
        <v>OK</v>
      </c>
      <c r="T261" s="2" t="str">
        <f>A261&amp;D261&amp;G261&amp;I261&amp;K261&amp;N261&amp;Q261</f>
        <v>SanaFemalePeshawarSales68284.43sana22@gmail.com</v>
      </c>
      <c r="U261" s="2" t="b">
        <f>COUNTIF(T:T,T261)&gt;1</f>
        <v>0</v>
      </c>
    </row>
    <row r="262" spans="1:21">
      <c r="A262" t="s">
        <v>251</v>
      </c>
      <c r="B262" t="b">
        <f>LEN(TRIM(A262))=0</f>
        <v>0</v>
      </c>
      <c r="C262" t="b">
        <f>COUNTIF(A:A,A262)&gt;1</f>
        <v>1</v>
      </c>
      <c r="D262" t="s">
        <v>22</v>
      </c>
      <c r="E262" t="b">
        <f>LEN(TRIM(D262))=0</f>
        <v>0</v>
      </c>
      <c r="F262" t="b">
        <f>EXACT(D262,PROPER(D262))</f>
        <v>1</v>
      </c>
      <c r="H262" t="b">
        <f>LEN(TRIM(G262))=0</f>
        <v>1</v>
      </c>
      <c r="I262" t="s">
        <v>28</v>
      </c>
      <c r="J262" t="b">
        <f>EXACT(I262,PROPER(I262))</f>
        <v>1</v>
      </c>
      <c r="K262" t="s">
        <v>24</v>
      </c>
      <c r="L262" t="str">
        <f>TRIM(K262)</f>
        <v>HR</v>
      </c>
      <c r="M262" t="b">
        <f>K262&lt;&gt;L262</f>
        <v>0</v>
      </c>
      <c r="O262" t="b">
        <f>LEN(TRIM(N262))=0</f>
        <v>1</v>
      </c>
      <c r="P262" t="b">
        <f>AND(N262&gt;0, N262&lt;1000000)</f>
        <v>0</v>
      </c>
      <c r="Q262" t="s">
        <v>261</v>
      </c>
      <c r="R262" s="2" t="b">
        <f>LEN(TRIM(Q262))=0</f>
        <v>0</v>
      </c>
      <c r="S262" s="2" t="str">
        <f>IF(RIGHT(TRIM(Q262),9)="gmail.com","OK","Typo")</f>
        <v>OK</v>
      </c>
      <c r="T262" s="2" t="str">
        <f>A262&amp;D262&amp;G262&amp;I262&amp;K262&amp;N262&amp;Q262</f>
        <v>SanaMaleKarachiHRsana22@gmail.com</v>
      </c>
      <c r="U262" s="2" t="b">
        <f>COUNTIF(T:T,T262)&gt;1</f>
        <v>0</v>
      </c>
    </row>
    <row r="263" spans="1:21">
      <c r="A263" t="s">
        <v>251</v>
      </c>
      <c r="B263" t="b">
        <f>LEN(TRIM(A263))=0</f>
        <v>0</v>
      </c>
      <c r="C263" t="b">
        <f>COUNTIF(A:A,A263)&gt;1</f>
        <v>1</v>
      </c>
      <c r="D263" t="s">
        <v>30</v>
      </c>
      <c r="E263" t="b">
        <f>LEN(TRIM(D263))=0</f>
        <v>0</v>
      </c>
      <c r="F263" t="b">
        <f>EXACT(D263,PROPER(D263))</f>
        <v>1</v>
      </c>
      <c r="H263" t="b">
        <f>LEN(TRIM(G263))=0</f>
        <v>1</v>
      </c>
      <c r="I263" t="s">
        <v>45</v>
      </c>
      <c r="J263" t="b">
        <f>EXACT(I263,PROPER(I263))</f>
        <v>1</v>
      </c>
      <c r="K263" t="s">
        <v>42</v>
      </c>
      <c r="L263" t="str">
        <f>TRIM(K263)</f>
        <v>IT</v>
      </c>
      <c r="M263" t="b">
        <f>K263&lt;&gt;L263</f>
        <v>0</v>
      </c>
      <c r="N263">
        <v>128157.52</v>
      </c>
      <c r="O263" t="b">
        <f>LEN(TRIM(N263))=0</f>
        <v>0</v>
      </c>
      <c r="P263" t="b">
        <f>AND(N263&gt;0, N263&lt;1000000)</f>
        <v>1</v>
      </c>
      <c r="Q263" t="s">
        <v>262</v>
      </c>
      <c r="R263" s="2" t="b">
        <f>LEN(TRIM(Q263))=0</f>
        <v>0</v>
      </c>
      <c r="S263" s="2" t="str">
        <f>IF(RIGHT(TRIM(Q263),9)="gmail.com","OK","Typo")</f>
        <v>OK</v>
      </c>
      <c r="T263" s="2" t="str">
        <f>A263&amp;D263&amp;G263&amp;I263&amp;K263&amp;N263&amp;Q263</f>
        <v>SanaFemalePeshawarIT128157.52sana25@gmail.com</v>
      </c>
      <c r="U263" s="2" t="b">
        <f>COUNTIF(T:T,T263)&gt;1</f>
        <v>0</v>
      </c>
    </row>
    <row r="264" spans="1:21">
      <c r="A264" t="s">
        <v>251</v>
      </c>
      <c r="B264" t="b">
        <f>LEN(TRIM(A264))=0</f>
        <v>0</v>
      </c>
      <c r="C264" t="b">
        <f>COUNTIF(A:A,A264)&gt;1</f>
        <v>1</v>
      </c>
      <c r="D264" t="s">
        <v>22</v>
      </c>
      <c r="E264" t="b">
        <f>LEN(TRIM(D264))=0</f>
        <v>0</v>
      </c>
      <c r="F264" t="b">
        <f>EXACT(D264,PROPER(D264))</f>
        <v>1</v>
      </c>
      <c r="H264" t="b">
        <f>LEN(TRIM(G264))=0</f>
        <v>1</v>
      </c>
      <c r="I264" t="s">
        <v>23</v>
      </c>
      <c r="J264" t="b">
        <f>EXACT(I264,PROPER(I264))</f>
        <v>1</v>
      </c>
      <c r="K264" t="s">
        <v>29</v>
      </c>
      <c r="L264" t="str">
        <f>TRIM(K264)</f>
        <v>Finance</v>
      </c>
      <c r="M264" t="b">
        <f>K264&lt;&gt;L264</f>
        <v>0</v>
      </c>
      <c r="O264" t="b">
        <f>LEN(TRIM(N264))=0</f>
        <v>1</v>
      </c>
      <c r="P264" t="b">
        <f>AND(N264&gt;0, N264&lt;1000000)</f>
        <v>0</v>
      </c>
      <c r="Q264" t="s">
        <v>263</v>
      </c>
      <c r="R264" s="2" t="b">
        <f>LEN(TRIM(Q264))=0</f>
        <v>0</v>
      </c>
      <c r="S264" s="2" t="str">
        <f>IF(RIGHT(TRIM(Q264),9)="gmail.com","OK","Typo")</f>
        <v>OK</v>
      </c>
      <c r="T264" s="2" t="str">
        <f>A264&amp;D264&amp;G264&amp;I264&amp;K264&amp;N264&amp;Q264</f>
        <v>SanaMaleQuettaFinancesana26@gmail.com</v>
      </c>
      <c r="U264" s="2" t="b">
        <f>COUNTIF(T:T,T264)&gt;1</f>
        <v>0</v>
      </c>
    </row>
    <row r="265" spans="1:21">
      <c r="A265" t="s">
        <v>251</v>
      </c>
      <c r="B265" t="b">
        <f>LEN(TRIM(A265))=0</f>
        <v>0</v>
      </c>
      <c r="C265" t="b">
        <f>COUNTIF(A:A,A265)&gt;1</f>
        <v>1</v>
      </c>
      <c r="D265" t="s">
        <v>30</v>
      </c>
      <c r="E265" t="b">
        <f>LEN(TRIM(D265))=0</f>
        <v>0</v>
      </c>
      <c r="F265" t="b">
        <f>EXACT(D265,PROPER(D265))</f>
        <v>1</v>
      </c>
      <c r="G265">
        <v>48</v>
      </c>
      <c r="H265" t="b">
        <f>LEN(TRIM(G265))=0</f>
        <v>0</v>
      </c>
      <c r="I265" t="s">
        <v>28</v>
      </c>
      <c r="J265" t="b">
        <f>EXACT(I265,PROPER(I265))</f>
        <v>1</v>
      </c>
      <c r="K265" t="s">
        <v>42</v>
      </c>
      <c r="L265" t="str">
        <f>TRIM(K265)</f>
        <v>IT</v>
      </c>
      <c r="M265" t="b">
        <f>K265&lt;&gt;L265</f>
        <v>0</v>
      </c>
      <c r="O265" t="b">
        <f>LEN(TRIM(N265))=0</f>
        <v>1</v>
      </c>
      <c r="P265" t="b">
        <f>AND(N265&gt;0, N265&lt;1000000)</f>
        <v>0</v>
      </c>
      <c r="Q265" t="s">
        <v>264</v>
      </c>
      <c r="R265" s="2" t="b">
        <f>LEN(TRIM(Q265))=0</f>
        <v>0</v>
      </c>
      <c r="S265" s="2" t="str">
        <f>IF(RIGHT(TRIM(Q265),9)="gmail.com","OK","Typo")</f>
        <v>OK</v>
      </c>
      <c r="T265" s="2" t="str">
        <f>A265&amp;D265&amp;G265&amp;I265&amp;K265&amp;N265&amp;Q265</f>
        <v>SanaFemale48KarachiITsana29@gmail.com</v>
      </c>
      <c r="U265" s="2" t="b">
        <f>COUNTIF(T:T,T265)&gt;1</f>
        <v>0</v>
      </c>
    </row>
    <row r="266" spans="1:21">
      <c r="A266" t="s">
        <v>251</v>
      </c>
      <c r="B266" t="b">
        <f>LEN(TRIM(A266))=0</f>
        <v>0</v>
      </c>
      <c r="C266" t="b">
        <f>COUNTIF(A:A,A266)&gt;1</f>
        <v>1</v>
      </c>
      <c r="D266" t="s">
        <v>30</v>
      </c>
      <c r="E266" t="b">
        <f>LEN(TRIM(D266))=0</f>
        <v>0</v>
      </c>
      <c r="F266" t="b">
        <f>EXACT(D266,PROPER(D266))</f>
        <v>1</v>
      </c>
      <c r="H266" t="b">
        <f>LEN(TRIM(G266))=0</f>
        <v>1</v>
      </c>
      <c r="I266" t="s">
        <v>23</v>
      </c>
      <c r="J266" t="b">
        <f>EXACT(I266,PROPER(I266))</f>
        <v>1</v>
      </c>
      <c r="K266" t="s">
        <v>42</v>
      </c>
      <c r="L266" t="str">
        <f>TRIM(K266)</f>
        <v>IT</v>
      </c>
      <c r="M266" t="b">
        <f>K266&lt;&gt;L266</f>
        <v>0</v>
      </c>
      <c r="O266" t="b">
        <f>LEN(TRIM(N266))=0</f>
        <v>1</v>
      </c>
      <c r="P266" t="b">
        <f>AND(N266&gt;0, N266&lt;1000000)</f>
        <v>0</v>
      </c>
      <c r="Q266" t="s">
        <v>265</v>
      </c>
      <c r="R266" s="2" t="b">
        <f>LEN(TRIM(Q266))=0</f>
        <v>0</v>
      </c>
      <c r="S266" s="2" t="str">
        <f>IF(RIGHT(TRIM(Q266),9)="gmail.com","OK","Typo")</f>
        <v>OK</v>
      </c>
      <c r="T266" s="2" t="str">
        <f>A266&amp;D266&amp;G266&amp;I266&amp;K266&amp;N266&amp;Q266</f>
        <v>SanaFemaleQuettaITsana3@gmail.com</v>
      </c>
      <c r="U266" s="2" t="b">
        <f>COUNTIF(T:T,T266)&gt;1</f>
        <v>0</v>
      </c>
    </row>
    <row r="267" spans="1:21">
      <c r="A267" t="s">
        <v>251</v>
      </c>
      <c r="B267" t="b">
        <f>LEN(TRIM(A267))=0</f>
        <v>0</v>
      </c>
      <c r="C267" t="b">
        <f>COUNTIF(A:A,A267)&gt;1</f>
        <v>1</v>
      </c>
      <c r="D267" t="s">
        <v>22</v>
      </c>
      <c r="E267" t="b">
        <f>LEN(TRIM(D267))=0</f>
        <v>0</v>
      </c>
      <c r="F267" t="b">
        <f>EXACT(D267,PROPER(D267))</f>
        <v>1</v>
      </c>
      <c r="H267" t="b">
        <f>LEN(TRIM(G267))=0</f>
        <v>1</v>
      </c>
      <c r="I267" t="s">
        <v>23</v>
      </c>
      <c r="J267" t="b">
        <f>EXACT(I267,PROPER(I267))</f>
        <v>1</v>
      </c>
      <c r="K267" t="s">
        <v>24</v>
      </c>
      <c r="L267" t="str">
        <f>TRIM(K267)</f>
        <v>HR</v>
      </c>
      <c r="M267" t="b">
        <f>K267&lt;&gt;L267</f>
        <v>0</v>
      </c>
      <c r="N267">
        <v>135839.45000000001</v>
      </c>
      <c r="O267" t="b">
        <f>LEN(TRIM(N267))=0</f>
        <v>0</v>
      </c>
      <c r="P267" t="b">
        <f>AND(N267&gt;0, N267&lt;1000000)</f>
        <v>1</v>
      </c>
      <c r="Q267" t="s">
        <v>266</v>
      </c>
      <c r="R267" s="2" t="b">
        <f>LEN(TRIM(Q267))=0</f>
        <v>0</v>
      </c>
      <c r="S267" s="2" t="str">
        <f>IF(RIGHT(TRIM(Q267),9)="gmail.com","OK","Typo")</f>
        <v>OK</v>
      </c>
      <c r="T267" s="2" t="str">
        <f>A267&amp;D267&amp;G267&amp;I267&amp;K267&amp;N267&amp;Q267</f>
        <v>SanaMaleQuettaHR135839.45sana33@gmail.com</v>
      </c>
      <c r="U267" s="2" t="b">
        <f>COUNTIF(T:T,T267)&gt;1</f>
        <v>0</v>
      </c>
    </row>
    <row r="268" spans="1:21">
      <c r="A268" t="s">
        <v>251</v>
      </c>
      <c r="B268" t="b">
        <f>LEN(TRIM(A268))=0</f>
        <v>0</v>
      </c>
      <c r="C268" t="b">
        <f>COUNTIF(A:A,A268)&gt;1</f>
        <v>1</v>
      </c>
      <c r="D268" t="s">
        <v>22</v>
      </c>
      <c r="E268" t="b">
        <f>LEN(TRIM(D268))=0</f>
        <v>0</v>
      </c>
      <c r="F268" t="b">
        <f>EXACT(D268,PROPER(D268))</f>
        <v>1</v>
      </c>
      <c r="G268">
        <v>25</v>
      </c>
      <c r="H268" t="b">
        <f>LEN(TRIM(G268))=0</f>
        <v>0</v>
      </c>
      <c r="I268" t="s">
        <v>45</v>
      </c>
      <c r="J268" t="b">
        <f>EXACT(I268,PROPER(I268))</f>
        <v>1</v>
      </c>
      <c r="K268" t="s">
        <v>38</v>
      </c>
      <c r="L268" t="str">
        <f>TRIM(K268)</f>
        <v>Sales</v>
      </c>
      <c r="M268" t="b">
        <f>K268&lt;&gt;L268</f>
        <v>0</v>
      </c>
      <c r="N268">
        <v>37544.99</v>
      </c>
      <c r="O268" t="b">
        <f>LEN(TRIM(N268))=0</f>
        <v>0</v>
      </c>
      <c r="P268" t="b">
        <f>AND(N268&gt;0, N268&lt;1000000)</f>
        <v>1</v>
      </c>
      <c r="Q268" t="s">
        <v>266</v>
      </c>
      <c r="R268" s="2" t="b">
        <f>LEN(TRIM(Q268))=0</f>
        <v>0</v>
      </c>
      <c r="S268" s="2" t="str">
        <f>IF(RIGHT(TRIM(Q268),9)="gmail.com","OK","Typo")</f>
        <v>OK</v>
      </c>
      <c r="T268" s="2" t="str">
        <f>A268&amp;D268&amp;G268&amp;I268&amp;K268&amp;N268&amp;Q268</f>
        <v>SanaMale25PeshawarSales37544.99sana33@gmail.com</v>
      </c>
      <c r="U268" s="2" t="b">
        <f>COUNTIF(T:T,T268)&gt;1</f>
        <v>0</v>
      </c>
    </row>
    <row r="269" spans="1:21">
      <c r="A269" t="s">
        <v>251</v>
      </c>
      <c r="B269" t="b">
        <f>LEN(TRIM(A269))=0</f>
        <v>0</v>
      </c>
      <c r="C269" t="b">
        <f>COUNTIF(A:A,A269)&gt;1</f>
        <v>1</v>
      </c>
      <c r="D269" t="s">
        <v>30</v>
      </c>
      <c r="E269" t="b">
        <f>LEN(TRIM(D269))=0</f>
        <v>0</v>
      </c>
      <c r="F269" t="b">
        <f>EXACT(D269,PROPER(D269))</f>
        <v>1</v>
      </c>
      <c r="G269">
        <v>57</v>
      </c>
      <c r="H269" t="b">
        <f>LEN(TRIM(G269))=0</f>
        <v>0</v>
      </c>
      <c r="I269" t="s">
        <v>28</v>
      </c>
      <c r="J269" t="b">
        <f>EXACT(I269,PROPER(I269))</f>
        <v>1</v>
      </c>
      <c r="K269" t="s">
        <v>35</v>
      </c>
      <c r="L269" t="str">
        <f>TRIM(K269)</f>
        <v>Marketing</v>
      </c>
      <c r="M269" t="b">
        <f>K269&lt;&gt;L269</f>
        <v>0</v>
      </c>
      <c r="N269">
        <v>111470.65</v>
      </c>
      <c r="O269" t="b">
        <f>LEN(TRIM(N269))=0</f>
        <v>0</v>
      </c>
      <c r="P269" t="b">
        <f>AND(N269&gt;0, N269&lt;1000000)</f>
        <v>1</v>
      </c>
      <c r="Q269" t="s">
        <v>267</v>
      </c>
      <c r="R269" s="2" t="b">
        <f>LEN(TRIM(Q269))=0</f>
        <v>0</v>
      </c>
      <c r="S269" s="2" t="str">
        <f>IF(RIGHT(TRIM(Q269),9)="gmail.com","OK","Typo")</f>
        <v>OK</v>
      </c>
      <c r="T269" s="2" t="str">
        <f>A269&amp;D269&amp;G269&amp;I269&amp;K269&amp;N269&amp;Q269</f>
        <v>SanaFemale57KarachiMarketing111470.65sana34@gmail.com</v>
      </c>
      <c r="U269" s="2" t="b">
        <f>COUNTIF(T:T,T269)&gt;1</f>
        <v>0</v>
      </c>
    </row>
    <row r="270" spans="1:21">
      <c r="A270" t="s">
        <v>251</v>
      </c>
      <c r="B270" t="b">
        <f>LEN(TRIM(A270))=0</f>
        <v>0</v>
      </c>
      <c r="C270" t="b">
        <f>COUNTIF(A:A,A270)&gt;1</f>
        <v>1</v>
      </c>
      <c r="D270" t="s">
        <v>30</v>
      </c>
      <c r="E270" t="b">
        <f>LEN(TRIM(D270))=0</f>
        <v>0</v>
      </c>
      <c r="F270" t="b">
        <f>EXACT(D270,PROPER(D270))</f>
        <v>1</v>
      </c>
      <c r="G270">
        <v>33</v>
      </c>
      <c r="H270" t="b">
        <f>LEN(TRIM(G270))=0</f>
        <v>0</v>
      </c>
      <c r="I270" t="s">
        <v>37</v>
      </c>
      <c r="J270" t="b">
        <f>EXACT(I270,PROPER(I270))</f>
        <v>1</v>
      </c>
      <c r="K270" t="s">
        <v>35</v>
      </c>
      <c r="L270" t="str">
        <f>TRIM(K270)</f>
        <v>Marketing</v>
      </c>
      <c r="M270" t="b">
        <f>K270&lt;&gt;L270</f>
        <v>0</v>
      </c>
      <c r="N270">
        <v>72943.87</v>
      </c>
      <c r="O270" t="b">
        <f>LEN(TRIM(N270))=0</f>
        <v>0</v>
      </c>
      <c r="P270" t="b">
        <f>AND(N270&gt;0, N270&lt;1000000)</f>
        <v>1</v>
      </c>
      <c r="Q270" t="s">
        <v>267</v>
      </c>
      <c r="R270" s="2" t="b">
        <f>LEN(TRIM(Q270))=0</f>
        <v>0</v>
      </c>
      <c r="S270" s="2" t="str">
        <f>IF(RIGHT(TRIM(Q270),9)="gmail.com","OK","Typo")</f>
        <v>OK</v>
      </c>
      <c r="T270" s="2" t="str">
        <f>A270&amp;D270&amp;G270&amp;I270&amp;K270&amp;N270&amp;Q270</f>
        <v>SanaFemale33IslamabadMarketing72943.87sana34@gmail.com</v>
      </c>
      <c r="U270" s="2" t="b">
        <f>COUNTIF(T:T,T270)&gt;1</f>
        <v>0</v>
      </c>
    </row>
    <row r="271" spans="1:21">
      <c r="A271" t="s">
        <v>251</v>
      </c>
      <c r="B271" t="b">
        <f>LEN(TRIM(A271))=0</f>
        <v>0</v>
      </c>
      <c r="C271" t="b">
        <f>COUNTIF(A:A,A271)&gt;1</f>
        <v>1</v>
      </c>
      <c r="D271" t="s">
        <v>30</v>
      </c>
      <c r="E271" t="b">
        <f>LEN(TRIM(D271))=0</f>
        <v>0</v>
      </c>
      <c r="F271" t="b">
        <f>EXACT(D271,PROPER(D271))</f>
        <v>1</v>
      </c>
      <c r="H271" t="b">
        <f>LEN(TRIM(G271))=0</f>
        <v>1</v>
      </c>
      <c r="I271" t="s">
        <v>28</v>
      </c>
      <c r="J271" t="b">
        <f>EXACT(I271,PROPER(I271))</f>
        <v>1</v>
      </c>
      <c r="K271" t="s">
        <v>24</v>
      </c>
      <c r="L271" t="str">
        <f>TRIM(K271)</f>
        <v>HR</v>
      </c>
      <c r="M271" t="b">
        <f>K271&lt;&gt;L271</f>
        <v>0</v>
      </c>
      <c r="O271" t="b">
        <f>LEN(TRIM(N271))=0</f>
        <v>1</v>
      </c>
      <c r="P271" t="b">
        <f>AND(N271&gt;0, N271&lt;1000000)</f>
        <v>0</v>
      </c>
      <c r="Q271" t="s">
        <v>268</v>
      </c>
      <c r="R271" s="2" t="b">
        <f>LEN(TRIM(Q271))=0</f>
        <v>0</v>
      </c>
      <c r="S271" s="2" t="str">
        <f>IF(RIGHT(TRIM(Q271),9)="gmail.com","OK","Typo")</f>
        <v>OK</v>
      </c>
      <c r="T271" s="2" t="str">
        <f>A271&amp;D271&amp;G271&amp;I271&amp;K271&amp;N271&amp;Q271</f>
        <v>SanaFemaleKarachiHRsana35@gmail.com</v>
      </c>
      <c r="U271" s="2" t="b">
        <f>COUNTIF(T:T,T271)&gt;1</f>
        <v>0</v>
      </c>
    </row>
    <row r="272" spans="1:21">
      <c r="A272" t="s">
        <v>251</v>
      </c>
      <c r="B272" t="b">
        <f>LEN(TRIM(A272))=0</f>
        <v>0</v>
      </c>
      <c r="C272" t="b">
        <f>COUNTIF(A:A,A272)&gt;1</f>
        <v>1</v>
      </c>
      <c r="D272" t="s">
        <v>30</v>
      </c>
      <c r="E272" t="b">
        <f>LEN(TRIM(D272))=0</f>
        <v>0</v>
      </c>
      <c r="F272" t="b">
        <f>EXACT(D272,PROPER(D272))</f>
        <v>1</v>
      </c>
      <c r="H272" t="b">
        <f>LEN(TRIM(G272))=0</f>
        <v>1</v>
      </c>
      <c r="I272" t="s">
        <v>32</v>
      </c>
      <c r="J272" t="b">
        <f>EXACT(I272,PROPER(I272))</f>
        <v>1</v>
      </c>
      <c r="K272" t="s">
        <v>42</v>
      </c>
      <c r="L272" t="str">
        <f>TRIM(K272)</f>
        <v>IT</v>
      </c>
      <c r="M272" t="b">
        <f>K272&lt;&gt;L272</f>
        <v>0</v>
      </c>
      <c r="O272" t="b">
        <f>LEN(TRIM(N272))=0</f>
        <v>1</v>
      </c>
      <c r="P272" t="b">
        <f>AND(N272&gt;0, N272&lt;1000000)</f>
        <v>0</v>
      </c>
      <c r="Q272" t="s">
        <v>269</v>
      </c>
      <c r="R272" s="2" t="b">
        <f>LEN(TRIM(Q272))=0</f>
        <v>0</v>
      </c>
      <c r="S272" s="2" t="str">
        <f>IF(RIGHT(TRIM(Q272),9)="gmail.com","OK","Typo")</f>
        <v>OK</v>
      </c>
      <c r="T272" s="2" t="str">
        <f>A272&amp;D272&amp;G272&amp;I272&amp;K272&amp;N272&amp;Q272</f>
        <v>SanaFemaleLahoreITsana36@gmail.com</v>
      </c>
      <c r="U272" s="2" t="b">
        <f>COUNTIF(T:T,T272)&gt;1</f>
        <v>0</v>
      </c>
    </row>
    <row r="273" spans="1:21">
      <c r="A273" t="s">
        <v>251</v>
      </c>
      <c r="B273" t="b">
        <f>LEN(TRIM(A273))=0</f>
        <v>0</v>
      </c>
      <c r="C273" t="b">
        <f>COUNTIF(A:A,A273)&gt;1</f>
        <v>1</v>
      </c>
      <c r="D273" t="s">
        <v>30</v>
      </c>
      <c r="E273" t="b">
        <f>LEN(TRIM(D273))=0</f>
        <v>0</v>
      </c>
      <c r="F273" t="b">
        <f>EXACT(D273,PROPER(D273))</f>
        <v>1</v>
      </c>
      <c r="G273">
        <v>30</v>
      </c>
      <c r="H273" t="b">
        <f>LEN(TRIM(G273))=0</f>
        <v>0</v>
      </c>
      <c r="I273" t="s">
        <v>23</v>
      </c>
      <c r="J273" t="b">
        <f>EXACT(I273,PROPER(I273))</f>
        <v>1</v>
      </c>
      <c r="K273" t="s">
        <v>35</v>
      </c>
      <c r="L273" t="str">
        <f>TRIM(K273)</f>
        <v>Marketing</v>
      </c>
      <c r="M273" t="b">
        <f>K273&lt;&gt;L273</f>
        <v>0</v>
      </c>
      <c r="N273">
        <v>121104.38</v>
      </c>
      <c r="O273" t="b">
        <f>LEN(TRIM(N273))=0</f>
        <v>0</v>
      </c>
      <c r="P273" t="b">
        <f>AND(N273&gt;0, N273&lt;1000000)</f>
        <v>1</v>
      </c>
      <c r="Q273" t="s">
        <v>270</v>
      </c>
      <c r="R273" s="2" t="b">
        <f>LEN(TRIM(Q273))=0</f>
        <v>0</v>
      </c>
      <c r="S273" s="2" t="str">
        <f>IF(RIGHT(TRIM(Q273),9)="gmail.com","OK","Typo")</f>
        <v>OK</v>
      </c>
      <c r="T273" s="2" t="str">
        <f>A273&amp;D273&amp;G273&amp;I273&amp;K273&amp;N273&amp;Q273</f>
        <v>SanaFemale30QuettaMarketing121104.38sana40@gmail.com</v>
      </c>
      <c r="U273" s="2" t="b">
        <f>COUNTIF(T:T,T273)&gt;1</f>
        <v>0</v>
      </c>
    </row>
    <row r="274" spans="1:21">
      <c r="A274" t="s">
        <v>251</v>
      </c>
      <c r="B274" t="b">
        <f>LEN(TRIM(A274))=0</f>
        <v>0</v>
      </c>
      <c r="C274" t="b">
        <f>COUNTIF(A:A,A274)&gt;1</f>
        <v>1</v>
      </c>
      <c r="D274" t="s">
        <v>22</v>
      </c>
      <c r="E274" t="b">
        <f>LEN(TRIM(D274))=0</f>
        <v>0</v>
      </c>
      <c r="F274" t="b">
        <f>EXACT(D274,PROPER(D274))</f>
        <v>1</v>
      </c>
      <c r="G274">
        <v>51</v>
      </c>
      <c r="H274" t="b">
        <f>LEN(TRIM(G274))=0</f>
        <v>0</v>
      </c>
      <c r="I274" t="s">
        <v>28</v>
      </c>
      <c r="J274" t="b">
        <f>EXACT(I274,PROPER(I274))</f>
        <v>1</v>
      </c>
      <c r="K274" t="s">
        <v>60</v>
      </c>
      <c r="L274" t="str">
        <f>TRIM(K274)</f>
        <v>Finance</v>
      </c>
      <c r="M274" t="b">
        <f>K274&lt;&gt;L274</f>
        <v>1</v>
      </c>
      <c r="N274">
        <v>64540.33</v>
      </c>
      <c r="O274" t="b">
        <f>LEN(TRIM(N274))=0</f>
        <v>0</v>
      </c>
      <c r="P274" t="b">
        <f>AND(N274&gt;0, N274&lt;1000000)</f>
        <v>1</v>
      </c>
      <c r="Q274" t="s">
        <v>271</v>
      </c>
      <c r="R274" s="2" t="b">
        <f>LEN(TRIM(Q274))=0</f>
        <v>0</v>
      </c>
      <c r="S274" s="2" t="str">
        <f>IF(RIGHT(TRIM(Q274),9)="gmail.com","OK","Typo")</f>
        <v>Typo</v>
      </c>
      <c r="T274" s="2" t="str">
        <f>A274&amp;D274&amp;G274&amp;I274&amp;K274&amp;N274&amp;Q274</f>
        <v>SanaMale51Karachi Finance 64540.33sana43@gamil.com</v>
      </c>
      <c r="U274" s="2" t="b">
        <f>COUNTIF(T:T,T274)&gt;1</f>
        <v>0</v>
      </c>
    </row>
    <row r="275" spans="1:21">
      <c r="A275" t="s">
        <v>251</v>
      </c>
      <c r="B275" t="b">
        <f>LEN(TRIM(A275))=0</f>
        <v>0</v>
      </c>
      <c r="C275" t="b">
        <f>COUNTIF(A:A,A275)&gt;1</f>
        <v>1</v>
      </c>
      <c r="D275" t="s">
        <v>22</v>
      </c>
      <c r="E275" t="b">
        <f>LEN(TRIM(D275))=0</f>
        <v>0</v>
      </c>
      <c r="F275" t="b">
        <f>EXACT(D275,PROPER(D275))</f>
        <v>1</v>
      </c>
      <c r="G275">
        <v>28</v>
      </c>
      <c r="H275" t="b">
        <f>LEN(TRIM(G275))=0</f>
        <v>0</v>
      </c>
      <c r="I275" t="s">
        <v>37</v>
      </c>
      <c r="J275" t="b">
        <f>EXACT(I275,PROPER(I275))</f>
        <v>1</v>
      </c>
      <c r="K275" t="s">
        <v>42</v>
      </c>
      <c r="L275" t="str">
        <f>TRIM(K275)</f>
        <v>IT</v>
      </c>
      <c r="M275" t="b">
        <f>K275&lt;&gt;L275</f>
        <v>0</v>
      </c>
      <c r="N275">
        <v>85409.17</v>
      </c>
      <c r="O275" t="b">
        <f>LEN(TRIM(N275))=0</f>
        <v>0</v>
      </c>
      <c r="P275" t="b">
        <f>AND(N275&gt;0, N275&lt;1000000)</f>
        <v>1</v>
      </c>
      <c r="Q275" t="s">
        <v>272</v>
      </c>
      <c r="R275" s="2" t="b">
        <f>LEN(TRIM(Q275))=0</f>
        <v>0</v>
      </c>
      <c r="S275" s="2" t="str">
        <f>IF(RIGHT(TRIM(Q275),9)="gmail.com","OK","Typo")</f>
        <v>OK</v>
      </c>
      <c r="T275" s="2" t="str">
        <f>A275&amp;D275&amp;G275&amp;I275&amp;K275&amp;N275&amp;Q275</f>
        <v>SanaMale28IslamabadIT85409.17sana43@gmail.com</v>
      </c>
      <c r="U275" s="2" t="b">
        <f>COUNTIF(T:T,T275)&gt;1</f>
        <v>0</v>
      </c>
    </row>
    <row r="276" spans="1:21">
      <c r="A276" t="s">
        <v>251</v>
      </c>
      <c r="B276" t="b">
        <f>LEN(TRIM(A276))=0</f>
        <v>0</v>
      </c>
      <c r="C276" t="b">
        <f>COUNTIF(A:A,A276)&gt;1</f>
        <v>1</v>
      </c>
      <c r="D276" t="s">
        <v>30</v>
      </c>
      <c r="E276" t="b">
        <f>LEN(TRIM(D276))=0</f>
        <v>0</v>
      </c>
      <c r="F276" t="b">
        <f>EXACT(D276,PROPER(D276))</f>
        <v>1</v>
      </c>
      <c r="G276">
        <v>34</v>
      </c>
      <c r="H276" t="b">
        <f>LEN(TRIM(G276))=0</f>
        <v>0</v>
      </c>
      <c r="I276" t="s">
        <v>37</v>
      </c>
      <c r="J276" t="b">
        <f>EXACT(I276,PROPER(I276))</f>
        <v>1</v>
      </c>
      <c r="K276" t="s">
        <v>29</v>
      </c>
      <c r="L276" t="str">
        <f>TRIM(K276)</f>
        <v>Finance</v>
      </c>
      <c r="M276" t="b">
        <f>K276&lt;&gt;L276</f>
        <v>0</v>
      </c>
      <c r="N276">
        <v>30564.06</v>
      </c>
      <c r="O276" t="b">
        <f>LEN(TRIM(N276))=0</f>
        <v>0</v>
      </c>
      <c r="P276" t="b">
        <f>AND(N276&gt;0, N276&lt;1000000)</f>
        <v>1</v>
      </c>
      <c r="Q276" t="s">
        <v>273</v>
      </c>
      <c r="R276" s="2" t="b">
        <f>LEN(TRIM(Q276))=0</f>
        <v>0</v>
      </c>
      <c r="S276" s="2" t="str">
        <f>IF(RIGHT(TRIM(Q276),9)="gmail.com","OK","Typo")</f>
        <v>OK</v>
      </c>
      <c r="T276" s="2" t="str">
        <f>A276&amp;D276&amp;G276&amp;I276&amp;K276&amp;N276&amp;Q276</f>
        <v>SanaFemale34IslamabadFinance30564.06sana47@gmail.com</v>
      </c>
      <c r="U276" s="2" t="b">
        <f>COUNTIF(T:T,T276)&gt;1</f>
        <v>0</v>
      </c>
    </row>
    <row r="277" spans="1:21">
      <c r="A277" t="s">
        <v>251</v>
      </c>
      <c r="B277" t="b">
        <f>LEN(TRIM(A277))=0</f>
        <v>0</v>
      </c>
      <c r="C277" t="b">
        <f>COUNTIF(A:A,A277)&gt;1</f>
        <v>1</v>
      </c>
      <c r="D277" t="s">
        <v>22</v>
      </c>
      <c r="E277" t="b">
        <f>LEN(TRIM(D277))=0</f>
        <v>0</v>
      </c>
      <c r="F277" t="b">
        <f>EXACT(D277,PROPER(D277))</f>
        <v>1</v>
      </c>
      <c r="G277">
        <v>40</v>
      </c>
      <c r="H277" t="b">
        <f>LEN(TRIM(G277))=0</f>
        <v>0</v>
      </c>
      <c r="I277" t="s">
        <v>45</v>
      </c>
      <c r="J277" t="b">
        <f>EXACT(I277,PROPER(I277))</f>
        <v>1</v>
      </c>
      <c r="K277" t="s">
        <v>33</v>
      </c>
      <c r="L277" t="str">
        <f>TRIM(K277)</f>
        <v>IT</v>
      </c>
      <c r="M277" t="b">
        <f>K277&lt;&gt;L277</f>
        <v>1</v>
      </c>
      <c r="O277" t="b">
        <f>LEN(TRIM(N277))=0</f>
        <v>1</v>
      </c>
      <c r="P277" t="b">
        <f>AND(N277&gt;0, N277&lt;1000000)</f>
        <v>0</v>
      </c>
      <c r="Q277" t="s">
        <v>274</v>
      </c>
      <c r="R277" s="2" t="b">
        <f>LEN(TRIM(Q277))=0</f>
        <v>0</v>
      </c>
      <c r="S277" s="2" t="str">
        <f>IF(RIGHT(TRIM(Q277),9)="gmail.com","OK","Typo")</f>
        <v>OK</v>
      </c>
      <c r="T277" s="2" t="str">
        <f>A277&amp;D277&amp;G277&amp;I277&amp;K277&amp;N277&amp;Q277</f>
        <v>SanaMale40Peshawar IT sana48@gmail.com</v>
      </c>
      <c r="U277" s="2" t="b">
        <f>COUNTIF(T:T,T277)&gt;1</f>
        <v>0</v>
      </c>
    </row>
    <row r="278" spans="1:21">
      <c r="A278" t="s">
        <v>251</v>
      </c>
      <c r="B278" t="b">
        <f>LEN(TRIM(A278))=0</f>
        <v>0</v>
      </c>
      <c r="C278" t="b">
        <f>COUNTIF(A:A,A278)&gt;1</f>
        <v>1</v>
      </c>
      <c r="D278" t="s">
        <v>30</v>
      </c>
      <c r="E278" t="b">
        <f>LEN(TRIM(D278))=0</f>
        <v>0</v>
      </c>
      <c r="F278" t="b">
        <f>EXACT(D278,PROPER(D278))</f>
        <v>1</v>
      </c>
      <c r="G278">
        <v>53</v>
      </c>
      <c r="H278" t="b">
        <f>LEN(TRIM(G278))=0</f>
        <v>0</v>
      </c>
      <c r="I278" t="s">
        <v>37</v>
      </c>
      <c r="J278" t="b">
        <f>EXACT(I278,PROPER(I278))</f>
        <v>1</v>
      </c>
      <c r="K278" t="s">
        <v>60</v>
      </c>
      <c r="L278" t="str">
        <f>TRIM(K278)</f>
        <v>Finance</v>
      </c>
      <c r="M278" t="b">
        <f>K278&lt;&gt;L278</f>
        <v>1</v>
      </c>
      <c r="O278" t="b">
        <f>LEN(TRIM(N278))=0</f>
        <v>1</v>
      </c>
      <c r="P278" t="b">
        <f>AND(N278&gt;0, N278&lt;1000000)</f>
        <v>0</v>
      </c>
      <c r="Q278" t="s">
        <v>275</v>
      </c>
      <c r="R278" s="2" t="b">
        <f>LEN(TRIM(Q278))=0</f>
        <v>0</v>
      </c>
      <c r="S278" s="2" t="str">
        <f>IF(RIGHT(TRIM(Q278),9)="gmail.com","OK","Typo")</f>
        <v>OK</v>
      </c>
      <c r="T278" s="2" t="str">
        <f>A278&amp;D278&amp;G278&amp;I278&amp;K278&amp;N278&amp;Q278</f>
        <v>SanaFemale53Islamabad Finance sana51@gmail.com</v>
      </c>
      <c r="U278" s="2" t="b">
        <f>COUNTIF(T:T,T278)&gt;1</f>
        <v>0</v>
      </c>
    </row>
    <row r="279" spans="1:21">
      <c r="A279" t="s">
        <v>251</v>
      </c>
      <c r="B279" t="b">
        <f>LEN(TRIM(A279))=0</f>
        <v>0</v>
      </c>
      <c r="C279" t="b">
        <f>COUNTIF(A:A,A279)&gt;1</f>
        <v>1</v>
      </c>
      <c r="D279" t="s">
        <v>22</v>
      </c>
      <c r="E279" t="b">
        <f>LEN(TRIM(D279))=0</f>
        <v>0</v>
      </c>
      <c r="F279" t="b">
        <f>EXACT(D279,PROPER(D279))</f>
        <v>1</v>
      </c>
      <c r="G279">
        <v>28</v>
      </c>
      <c r="H279" t="b">
        <f>LEN(TRIM(G279))=0</f>
        <v>0</v>
      </c>
      <c r="I279" t="s">
        <v>45</v>
      </c>
      <c r="J279" t="b">
        <f>EXACT(I279,PROPER(I279))</f>
        <v>1</v>
      </c>
      <c r="K279" t="s">
        <v>29</v>
      </c>
      <c r="L279" t="str">
        <f>TRIM(K279)</f>
        <v>Finance</v>
      </c>
      <c r="M279" t="b">
        <f>K279&lt;&gt;L279</f>
        <v>0</v>
      </c>
      <c r="N279">
        <v>140607.34</v>
      </c>
      <c r="O279" t="b">
        <f>LEN(TRIM(N279))=0</f>
        <v>0</v>
      </c>
      <c r="P279" t="b">
        <f>AND(N279&gt;0, N279&lt;1000000)</f>
        <v>1</v>
      </c>
      <c r="Q279" t="s">
        <v>276</v>
      </c>
      <c r="R279" s="2" t="b">
        <f>LEN(TRIM(Q279))=0</f>
        <v>0</v>
      </c>
      <c r="S279" s="2" t="str">
        <f>IF(RIGHT(TRIM(Q279),9)="gmail.com","OK","Typo")</f>
        <v>OK</v>
      </c>
      <c r="T279" s="2" t="str">
        <f>A279&amp;D279&amp;G279&amp;I279&amp;K279&amp;N279&amp;Q279</f>
        <v>SanaMale28PeshawarFinance140607.34sana53@gmail.com</v>
      </c>
      <c r="U279" s="2" t="b">
        <f>COUNTIF(T:T,T279)&gt;1</f>
        <v>0</v>
      </c>
    </row>
    <row r="280" spans="1:21">
      <c r="A280" t="s">
        <v>251</v>
      </c>
      <c r="B280" t="b">
        <f>LEN(TRIM(A280))=0</f>
        <v>0</v>
      </c>
      <c r="C280" t="b">
        <f>COUNTIF(A:A,A280)&gt;1</f>
        <v>1</v>
      </c>
      <c r="D280" t="s">
        <v>22</v>
      </c>
      <c r="E280" t="b">
        <f>LEN(TRIM(D280))=0</f>
        <v>0</v>
      </c>
      <c r="F280" t="b">
        <f>EXACT(D280,PROPER(D280))</f>
        <v>1</v>
      </c>
      <c r="G280">
        <v>25</v>
      </c>
      <c r="H280" t="b">
        <f>LEN(TRIM(G280))=0</f>
        <v>0</v>
      </c>
      <c r="I280" t="s">
        <v>45</v>
      </c>
      <c r="J280" t="b">
        <f>EXACT(I280,PROPER(I280))</f>
        <v>1</v>
      </c>
      <c r="K280" t="s">
        <v>38</v>
      </c>
      <c r="L280" t="str">
        <f>TRIM(K280)</f>
        <v>Sales</v>
      </c>
      <c r="M280" t="b">
        <f>K280&lt;&gt;L280</f>
        <v>0</v>
      </c>
      <c r="O280" t="b">
        <f>LEN(TRIM(N280))=0</f>
        <v>1</v>
      </c>
      <c r="P280" t="b">
        <f>AND(N280&gt;0, N280&lt;1000000)</f>
        <v>0</v>
      </c>
      <c r="Q280" t="s">
        <v>276</v>
      </c>
      <c r="R280" s="2" t="b">
        <f>LEN(TRIM(Q280))=0</f>
        <v>0</v>
      </c>
      <c r="S280" s="2" t="str">
        <f>IF(RIGHT(TRIM(Q280),9)="gmail.com","OK","Typo")</f>
        <v>OK</v>
      </c>
      <c r="T280" s="2" t="str">
        <f>A280&amp;D280&amp;G280&amp;I280&amp;K280&amp;N280&amp;Q280</f>
        <v>SanaMale25PeshawarSalessana53@gmail.com</v>
      </c>
      <c r="U280" s="2" t="b">
        <f>COUNTIF(T:T,T280)&gt;1</f>
        <v>0</v>
      </c>
    </row>
    <row r="281" spans="1:21">
      <c r="A281" t="s">
        <v>251</v>
      </c>
      <c r="B281" t="b">
        <f>LEN(TRIM(A281))=0</f>
        <v>0</v>
      </c>
      <c r="C281" t="b">
        <f>COUNTIF(A:A,A281)&gt;1</f>
        <v>1</v>
      </c>
      <c r="D281" t="s">
        <v>22</v>
      </c>
      <c r="E281" t="b">
        <f>LEN(TRIM(D281))=0</f>
        <v>0</v>
      </c>
      <c r="F281" t="b">
        <f>EXACT(D281,PROPER(D281))</f>
        <v>1</v>
      </c>
      <c r="G281">
        <v>49</v>
      </c>
      <c r="H281" t="b">
        <f>LEN(TRIM(G281))=0</f>
        <v>0</v>
      </c>
      <c r="I281" t="s">
        <v>28</v>
      </c>
      <c r="J281" t="b">
        <f>EXACT(I281,PROPER(I281))</f>
        <v>1</v>
      </c>
      <c r="K281" t="s">
        <v>38</v>
      </c>
      <c r="L281" t="str">
        <f>TRIM(K281)</f>
        <v>Sales</v>
      </c>
      <c r="M281" t="b">
        <f>K281&lt;&gt;L281</f>
        <v>0</v>
      </c>
      <c r="N281">
        <v>128192.85</v>
      </c>
      <c r="O281" t="b">
        <f>LEN(TRIM(N281))=0</f>
        <v>0</v>
      </c>
      <c r="P281" t="b">
        <f>AND(N281&gt;0, N281&lt;1000000)</f>
        <v>1</v>
      </c>
      <c r="Q281" t="s">
        <v>277</v>
      </c>
      <c r="R281" s="2" t="b">
        <f>LEN(TRIM(Q281))=0</f>
        <v>0</v>
      </c>
      <c r="S281" s="2" t="str">
        <f>IF(RIGHT(TRIM(Q281),9)="gmail.com","OK","Typo")</f>
        <v>OK</v>
      </c>
      <c r="T281" s="2" t="str">
        <f>A281&amp;D281&amp;G281&amp;I281&amp;K281&amp;N281&amp;Q281</f>
        <v>SanaMale49KarachiSales128192.85sana54@gmail.com</v>
      </c>
      <c r="U281" s="2" t="b">
        <f>COUNTIF(T:T,T281)&gt;1</f>
        <v>0</v>
      </c>
    </row>
    <row r="282" spans="1:21">
      <c r="A282" t="s">
        <v>251</v>
      </c>
      <c r="B282" t="b">
        <f>LEN(TRIM(A282))=0</f>
        <v>0</v>
      </c>
      <c r="C282" t="b">
        <f>COUNTIF(A:A,A282)&gt;1</f>
        <v>1</v>
      </c>
      <c r="D282" t="s">
        <v>30</v>
      </c>
      <c r="E282" t="b">
        <f>LEN(TRIM(D282))=0</f>
        <v>0</v>
      </c>
      <c r="F282" t="b">
        <f>EXACT(D282,PROPER(D282))</f>
        <v>1</v>
      </c>
      <c r="G282">
        <v>55</v>
      </c>
      <c r="H282" t="b">
        <f>LEN(TRIM(G282))=0</f>
        <v>0</v>
      </c>
      <c r="I282" t="s">
        <v>37</v>
      </c>
      <c r="J282" t="b">
        <f>EXACT(I282,PROPER(I282))</f>
        <v>1</v>
      </c>
      <c r="K282" t="s">
        <v>24</v>
      </c>
      <c r="L282" t="str">
        <f>TRIM(K282)</f>
        <v>HR</v>
      </c>
      <c r="M282" t="b">
        <f>K282&lt;&gt;L282</f>
        <v>0</v>
      </c>
      <c r="O282" t="b">
        <f>LEN(TRIM(N282))=0</f>
        <v>1</v>
      </c>
      <c r="P282" t="b">
        <f>AND(N282&gt;0, N282&lt;1000000)</f>
        <v>0</v>
      </c>
      <c r="Q282" t="s">
        <v>278</v>
      </c>
      <c r="R282" s="2" t="b">
        <f>LEN(TRIM(Q282))=0</f>
        <v>0</v>
      </c>
      <c r="S282" s="2" t="str">
        <f>IF(RIGHT(TRIM(Q282),9)="gmail.com","OK","Typo")</f>
        <v>OK</v>
      </c>
      <c r="T282" s="2" t="str">
        <f>A282&amp;D282&amp;G282&amp;I282&amp;K282&amp;N282&amp;Q282</f>
        <v>SanaFemale55IslamabadHRsana55@gmail.com</v>
      </c>
      <c r="U282" s="2" t="b">
        <f>COUNTIF(T:T,T282)&gt;1</f>
        <v>0</v>
      </c>
    </row>
    <row r="283" spans="1:21">
      <c r="A283" t="s">
        <v>251</v>
      </c>
      <c r="B283" t="b">
        <f>LEN(TRIM(A283))=0</f>
        <v>0</v>
      </c>
      <c r="C283" t="b">
        <f>COUNTIF(A:A,A283)&gt;1</f>
        <v>1</v>
      </c>
      <c r="D283" t="s">
        <v>22</v>
      </c>
      <c r="E283" t="b">
        <f>LEN(TRIM(D283))=0</f>
        <v>0</v>
      </c>
      <c r="F283" t="b">
        <f>EXACT(D283,PROPER(D283))</f>
        <v>1</v>
      </c>
      <c r="G283">
        <v>35</v>
      </c>
      <c r="H283" t="b">
        <f>LEN(TRIM(G283))=0</f>
        <v>0</v>
      </c>
      <c r="I283" t="s">
        <v>45</v>
      </c>
      <c r="J283" t="b">
        <f>EXACT(I283,PROPER(I283))</f>
        <v>1</v>
      </c>
      <c r="K283" t="s">
        <v>42</v>
      </c>
      <c r="L283" t="str">
        <f>TRIM(K283)</f>
        <v>IT</v>
      </c>
      <c r="M283" t="b">
        <f>K283&lt;&gt;L283</f>
        <v>0</v>
      </c>
      <c r="N283">
        <v>75547.490000000005</v>
      </c>
      <c r="O283" t="b">
        <f>LEN(TRIM(N283))=0</f>
        <v>0</v>
      </c>
      <c r="P283" t="b">
        <f>AND(N283&gt;0, N283&lt;1000000)</f>
        <v>1</v>
      </c>
      <c r="Q283" t="s">
        <v>279</v>
      </c>
      <c r="R283" s="2" t="b">
        <f>LEN(TRIM(Q283))=0</f>
        <v>0</v>
      </c>
      <c r="S283" s="2" t="str">
        <f>IF(RIGHT(TRIM(Q283),9)="gmail.com","OK","Typo")</f>
        <v>Typo</v>
      </c>
      <c r="T283" s="2" t="str">
        <f>A283&amp;D283&amp;G283&amp;I283&amp;K283&amp;N283&amp;Q283</f>
        <v>SanaMale35PeshawarIT75547.49sana56@gamil.com</v>
      </c>
      <c r="U283" s="2" t="b">
        <f>COUNTIF(T:T,T283)&gt;1</f>
        <v>0</v>
      </c>
    </row>
    <row r="284" spans="1:21">
      <c r="A284" t="s">
        <v>251</v>
      </c>
      <c r="B284" t="b">
        <f>LEN(TRIM(A284))=0</f>
        <v>0</v>
      </c>
      <c r="C284" t="b">
        <f>COUNTIF(A:A,A284)&gt;1</f>
        <v>1</v>
      </c>
      <c r="D284" t="s">
        <v>30</v>
      </c>
      <c r="E284" t="b">
        <f>LEN(TRIM(D284))=0</f>
        <v>0</v>
      </c>
      <c r="F284" t="b">
        <f>EXACT(D284,PROPER(D284))</f>
        <v>1</v>
      </c>
      <c r="G284">
        <v>39</v>
      </c>
      <c r="H284" t="b">
        <f>LEN(TRIM(G284))=0</f>
        <v>0</v>
      </c>
      <c r="I284" t="s">
        <v>28</v>
      </c>
      <c r="J284" t="b">
        <f>EXACT(I284,PROPER(I284))</f>
        <v>1</v>
      </c>
      <c r="K284" t="s">
        <v>42</v>
      </c>
      <c r="L284" t="str">
        <f>TRIM(K284)</f>
        <v>IT</v>
      </c>
      <c r="M284" t="b">
        <f>K284&lt;&gt;L284</f>
        <v>0</v>
      </c>
      <c r="O284" t="b">
        <f>LEN(TRIM(N284))=0</f>
        <v>1</v>
      </c>
      <c r="P284" t="b">
        <f>AND(N284&gt;0, N284&lt;1000000)</f>
        <v>0</v>
      </c>
      <c r="Q284" t="s">
        <v>280</v>
      </c>
      <c r="R284" s="2" t="b">
        <f>LEN(TRIM(Q284))=0</f>
        <v>0</v>
      </c>
      <c r="S284" s="2" t="str">
        <f>IF(RIGHT(TRIM(Q284),9)="gmail.com","OK","Typo")</f>
        <v>OK</v>
      </c>
      <c r="T284" s="2" t="str">
        <f>A284&amp;D284&amp;G284&amp;I284&amp;K284&amp;N284&amp;Q284</f>
        <v>SanaFemale39KarachiITsana56@gmail.com</v>
      </c>
      <c r="U284" s="2" t="b">
        <f>COUNTIF(T:T,T284)&gt;1</f>
        <v>0</v>
      </c>
    </row>
    <row r="285" spans="1:21">
      <c r="A285" t="s">
        <v>251</v>
      </c>
      <c r="B285" t="b">
        <f>LEN(TRIM(A285))=0</f>
        <v>0</v>
      </c>
      <c r="C285" t="b">
        <f>COUNTIF(A:A,A285)&gt;1</f>
        <v>1</v>
      </c>
      <c r="D285" t="s">
        <v>30</v>
      </c>
      <c r="E285" t="b">
        <f>LEN(TRIM(D285))=0</f>
        <v>0</v>
      </c>
      <c r="F285" t="b">
        <f>EXACT(D285,PROPER(D285))</f>
        <v>1</v>
      </c>
      <c r="G285">
        <v>28</v>
      </c>
      <c r="H285" t="b">
        <f>LEN(TRIM(G285))=0</f>
        <v>0</v>
      </c>
      <c r="I285" t="s">
        <v>32</v>
      </c>
      <c r="J285" t="b">
        <f>EXACT(I285,PROPER(I285))</f>
        <v>1</v>
      </c>
      <c r="K285" t="s">
        <v>42</v>
      </c>
      <c r="L285" t="str">
        <f>TRIM(K285)</f>
        <v>IT</v>
      </c>
      <c r="M285" t="b">
        <f>K285&lt;&gt;L285</f>
        <v>0</v>
      </c>
      <c r="O285" t="b">
        <f>LEN(TRIM(N285))=0</f>
        <v>1</v>
      </c>
      <c r="P285" t="b">
        <f>AND(N285&gt;0, N285&lt;1000000)</f>
        <v>0</v>
      </c>
      <c r="Q285" t="s">
        <v>281</v>
      </c>
      <c r="R285" s="2" t="b">
        <f>LEN(TRIM(Q285))=0</f>
        <v>0</v>
      </c>
      <c r="S285" s="2" t="str">
        <f>IF(RIGHT(TRIM(Q285),9)="gmail.com","OK","Typo")</f>
        <v>OK</v>
      </c>
      <c r="T285" s="2" t="str">
        <f>A285&amp;D285&amp;G285&amp;I285&amp;K285&amp;N285&amp;Q285</f>
        <v>SanaFemale28LahoreITsana63@gmail.com</v>
      </c>
      <c r="U285" s="2" t="b">
        <f>COUNTIF(T:T,T285)&gt;1</f>
        <v>0</v>
      </c>
    </row>
    <row r="286" spans="1:21">
      <c r="A286" t="s">
        <v>251</v>
      </c>
      <c r="B286" t="b">
        <f>LEN(TRIM(A286))=0</f>
        <v>0</v>
      </c>
      <c r="C286" t="b">
        <f>COUNTIF(A:A,A286)&gt;1</f>
        <v>1</v>
      </c>
      <c r="D286" t="s">
        <v>30</v>
      </c>
      <c r="E286" t="b">
        <f>LEN(TRIM(D286))=0</f>
        <v>0</v>
      </c>
      <c r="F286" t="b">
        <f>EXACT(D286,PROPER(D286))</f>
        <v>1</v>
      </c>
      <c r="G286">
        <v>23</v>
      </c>
      <c r="H286" t="b">
        <f>LEN(TRIM(G286))=0</f>
        <v>0</v>
      </c>
      <c r="I286" t="s">
        <v>23</v>
      </c>
      <c r="J286" t="b">
        <f>EXACT(I286,PROPER(I286))</f>
        <v>1</v>
      </c>
      <c r="K286" t="s">
        <v>35</v>
      </c>
      <c r="L286" t="str">
        <f>TRIM(K286)</f>
        <v>Marketing</v>
      </c>
      <c r="M286" t="b">
        <f>K286&lt;&gt;L286</f>
        <v>0</v>
      </c>
      <c r="N286">
        <v>89300.89</v>
      </c>
      <c r="O286" t="b">
        <f>LEN(TRIM(N286))=0</f>
        <v>0</v>
      </c>
      <c r="P286" t="b">
        <f>AND(N286&gt;0, N286&lt;1000000)</f>
        <v>1</v>
      </c>
      <c r="Q286" t="s">
        <v>282</v>
      </c>
      <c r="R286" s="2" t="b">
        <f>LEN(TRIM(Q286))=0</f>
        <v>0</v>
      </c>
      <c r="S286" s="2" t="str">
        <f>IF(RIGHT(TRIM(Q286),9)="gmail.com","OK","Typo")</f>
        <v>OK</v>
      </c>
      <c r="T286" s="2" t="str">
        <f>A286&amp;D286&amp;G286&amp;I286&amp;K286&amp;N286&amp;Q286</f>
        <v>SanaFemale23QuettaMarketing89300.89sana64@gmail.com</v>
      </c>
      <c r="U286" s="2" t="b">
        <f>COUNTIF(T:T,T286)&gt;1</f>
        <v>0</v>
      </c>
    </row>
    <row r="287" spans="1:21">
      <c r="A287" t="s">
        <v>251</v>
      </c>
      <c r="B287" t="b">
        <f>LEN(TRIM(A287))=0</f>
        <v>0</v>
      </c>
      <c r="C287" t="b">
        <f>COUNTIF(A:A,A287)&gt;1</f>
        <v>1</v>
      </c>
      <c r="D287" t="s">
        <v>22</v>
      </c>
      <c r="E287" t="b">
        <f>LEN(TRIM(D287))=0</f>
        <v>0</v>
      </c>
      <c r="F287" t="b">
        <f>EXACT(D287,PROPER(D287))</f>
        <v>1</v>
      </c>
      <c r="G287">
        <v>37</v>
      </c>
      <c r="H287" t="b">
        <f>LEN(TRIM(G287))=0</f>
        <v>0</v>
      </c>
      <c r="I287" t="s">
        <v>28</v>
      </c>
      <c r="J287" t="b">
        <f>EXACT(I287,PROPER(I287))</f>
        <v>1</v>
      </c>
      <c r="K287" t="s">
        <v>42</v>
      </c>
      <c r="L287" t="str">
        <f>TRIM(K287)</f>
        <v>IT</v>
      </c>
      <c r="M287" t="b">
        <f>K287&lt;&gt;L287</f>
        <v>0</v>
      </c>
      <c r="O287" t="b">
        <f>LEN(TRIM(N287))=0</f>
        <v>1</v>
      </c>
      <c r="P287" t="b">
        <f>AND(N287&gt;0, N287&lt;1000000)</f>
        <v>0</v>
      </c>
      <c r="Q287" t="s">
        <v>283</v>
      </c>
      <c r="R287" s="2" t="b">
        <f>LEN(TRIM(Q287))=0</f>
        <v>0</v>
      </c>
      <c r="S287" s="2" t="str">
        <f>IF(RIGHT(TRIM(Q287),9)="gmail.com","OK","Typo")</f>
        <v>OK</v>
      </c>
      <c r="T287" s="2" t="str">
        <f>A287&amp;D287&amp;G287&amp;I287&amp;K287&amp;N287&amp;Q287</f>
        <v>SanaMale37KarachiITsana7@gmail.com</v>
      </c>
      <c r="U287" s="2" t="b">
        <f>COUNTIF(T:T,T287)&gt;1</f>
        <v>0</v>
      </c>
    </row>
    <row r="288" spans="1:21">
      <c r="A288" t="s">
        <v>251</v>
      </c>
      <c r="B288" t="b">
        <f>LEN(TRIM(A288))=0</f>
        <v>0</v>
      </c>
      <c r="C288" t="b">
        <f>COUNTIF(A:A,A288)&gt;1</f>
        <v>1</v>
      </c>
      <c r="D288" t="s">
        <v>30</v>
      </c>
      <c r="E288" t="b">
        <f>LEN(TRIM(D288))=0</f>
        <v>0</v>
      </c>
      <c r="F288" t="b">
        <f>EXACT(D288,PROPER(D288))</f>
        <v>1</v>
      </c>
      <c r="H288" t="b">
        <f>LEN(TRIM(G288))=0</f>
        <v>1</v>
      </c>
      <c r="I288" t="s">
        <v>37</v>
      </c>
      <c r="J288" t="b">
        <f>EXACT(I288,PROPER(I288))</f>
        <v>1</v>
      </c>
      <c r="K288" t="s">
        <v>38</v>
      </c>
      <c r="L288" t="str">
        <f>TRIM(K288)</f>
        <v>Sales</v>
      </c>
      <c r="M288" t="b">
        <f>K288&lt;&gt;L288</f>
        <v>0</v>
      </c>
      <c r="O288" t="b">
        <f>LEN(TRIM(N288))=0</f>
        <v>1</v>
      </c>
      <c r="P288" t="b">
        <f>AND(N288&gt;0, N288&lt;1000000)</f>
        <v>0</v>
      </c>
      <c r="Q288" t="s">
        <v>284</v>
      </c>
      <c r="R288" s="2" t="b">
        <f>LEN(TRIM(Q288))=0</f>
        <v>0</v>
      </c>
      <c r="S288" s="2" t="str">
        <f>IF(RIGHT(TRIM(Q288),9)="gmail.com","OK","Typo")</f>
        <v>OK</v>
      </c>
      <c r="T288" s="2" t="str">
        <f>A288&amp;D288&amp;G288&amp;I288&amp;K288&amp;N288&amp;Q288</f>
        <v>SanaFemaleIslamabadSalessana71@gmail.com</v>
      </c>
      <c r="U288" s="2" t="b">
        <f>COUNTIF(T:T,T288)&gt;1</f>
        <v>0</v>
      </c>
    </row>
    <row r="289" spans="1:21">
      <c r="A289" t="s">
        <v>251</v>
      </c>
      <c r="B289" t="b">
        <f>LEN(TRIM(A289))=0</f>
        <v>0</v>
      </c>
      <c r="C289" t="b">
        <f>COUNTIF(A:A,A289)&gt;1</f>
        <v>1</v>
      </c>
      <c r="D289" t="s">
        <v>30</v>
      </c>
      <c r="E289" t="b">
        <f>LEN(TRIM(D289))=0</f>
        <v>0</v>
      </c>
      <c r="F289" t="b">
        <f>EXACT(D289,PROPER(D289))</f>
        <v>1</v>
      </c>
      <c r="G289">
        <v>21</v>
      </c>
      <c r="H289" t="b">
        <f>LEN(TRIM(G289))=0</f>
        <v>0</v>
      </c>
      <c r="I289" t="s">
        <v>23</v>
      </c>
      <c r="J289" t="b">
        <f>EXACT(I289,PROPER(I289))</f>
        <v>1</v>
      </c>
      <c r="K289" t="s">
        <v>29</v>
      </c>
      <c r="L289" t="str">
        <f>TRIM(K289)</f>
        <v>Finance</v>
      </c>
      <c r="M289" t="b">
        <f>K289&lt;&gt;L289</f>
        <v>0</v>
      </c>
      <c r="N289">
        <v>147901.41</v>
      </c>
      <c r="O289" t="b">
        <f>LEN(TRIM(N289))=0</f>
        <v>0</v>
      </c>
      <c r="P289" t="b">
        <f>AND(N289&gt;0, N289&lt;1000000)</f>
        <v>1</v>
      </c>
      <c r="Q289" t="s">
        <v>285</v>
      </c>
      <c r="R289" s="2" t="b">
        <f>LEN(TRIM(Q289))=0</f>
        <v>0</v>
      </c>
      <c r="S289" s="2" t="str">
        <f>IF(RIGHT(TRIM(Q289),9)="gmail.com","OK","Typo")</f>
        <v>OK</v>
      </c>
      <c r="T289" s="2" t="str">
        <f>A289&amp;D289&amp;G289&amp;I289&amp;K289&amp;N289&amp;Q289</f>
        <v>SanaFemale21QuettaFinance147901.41sana72@gmail.com</v>
      </c>
      <c r="U289" s="2" t="b">
        <f>COUNTIF(T:T,T289)&gt;1</f>
        <v>0</v>
      </c>
    </row>
    <row r="290" spans="1:21">
      <c r="A290" t="s">
        <v>251</v>
      </c>
      <c r="B290" t="b">
        <f>LEN(TRIM(A290))=0</f>
        <v>0</v>
      </c>
      <c r="C290" t="b">
        <f>COUNTIF(A:A,A290)&gt;1</f>
        <v>1</v>
      </c>
      <c r="D290" t="s">
        <v>30</v>
      </c>
      <c r="E290" t="b">
        <f>LEN(TRIM(D290))=0</f>
        <v>0</v>
      </c>
      <c r="F290" t="b">
        <f>EXACT(D290,PROPER(D290))</f>
        <v>1</v>
      </c>
      <c r="H290" t="b">
        <f>LEN(TRIM(G290))=0</f>
        <v>1</v>
      </c>
      <c r="I290" t="s">
        <v>28</v>
      </c>
      <c r="J290" t="b">
        <f>EXACT(I290,PROPER(I290))</f>
        <v>1</v>
      </c>
      <c r="K290" t="s">
        <v>33</v>
      </c>
      <c r="L290" t="str">
        <f>TRIM(K290)</f>
        <v>IT</v>
      </c>
      <c r="M290" t="b">
        <f>K290&lt;&gt;L290</f>
        <v>1</v>
      </c>
      <c r="O290" t="b">
        <f>LEN(TRIM(N290))=0</f>
        <v>1</v>
      </c>
      <c r="P290" t="b">
        <f>AND(N290&gt;0, N290&lt;1000000)</f>
        <v>0</v>
      </c>
      <c r="Q290" t="s">
        <v>286</v>
      </c>
      <c r="R290" s="2" t="b">
        <f>LEN(TRIM(Q290))=0</f>
        <v>0</v>
      </c>
      <c r="S290" s="2" t="str">
        <f>IF(RIGHT(TRIM(Q290),9)="gmail.com","OK","Typo")</f>
        <v>OK</v>
      </c>
      <c r="T290" s="2" t="str">
        <f>A290&amp;D290&amp;G290&amp;I290&amp;K290&amp;N290&amp;Q290</f>
        <v>SanaFemaleKarachi IT sana73@gmail.com</v>
      </c>
      <c r="U290" s="2" t="b">
        <f>COUNTIF(T:T,T290)&gt;1</f>
        <v>0</v>
      </c>
    </row>
    <row r="291" spans="1:21">
      <c r="A291" t="s">
        <v>251</v>
      </c>
      <c r="B291" t="b">
        <f>LEN(TRIM(A291))=0</f>
        <v>0</v>
      </c>
      <c r="C291" t="b">
        <f>COUNTIF(A:A,A291)&gt;1</f>
        <v>1</v>
      </c>
      <c r="D291" t="s">
        <v>30</v>
      </c>
      <c r="E291" t="b">
        <f>LEN(TRIM(D291))=0</f>
        <v>0</v>
      </c>
      <c r="F291" t="b">
        <f>EXACT(D291,PROPER(D291))</f>
        <v>1</v>
      </c>
      <c r="H291" t="b">
        <f>LEN(TRIM(G291))=0</f>
        <v>1</v>
      </c>
      <c r="I291" t="s">
        <v>32</v>
      </c>
      <c r="J291" t="b">
        <f>EXACT(I291,PROPER(I291))</f>
        <v>1</v>
      </c>
      <c r="K291" t="s">
        <v>24</v>
      </c>
      <c r="L291" t="str">
        <f>TRIM(K291)</f>
        <v>HR</v>
      </c>
      <c r="M291" t="b">
        <f>K291&lt;&gt;L291</f>
        <v>0</v>
      </c>
      <c r="N291">
        <v>97849.22</v>
      </c>
      <c r="O291" t="b">
        <f>LEN(TRIM(N291))=0</f>
        <v>0</v>
      </c>
      <c r="P291" t="b">
        <f>AND(N291&gt;0, N291&lt;1000000)</f>
        <v>1</v>
      </c>
      <c r="Q291" t="s">
        <v>287</v>
      </c>
      <c r="R291" s="2" t="b">
        <f>LEN(TRIM(Q291))=0</f>
        <v>0</v>
      </c>
      <c r="S291" s="2" t="str">
        <f>IF(RIGHT(TRIM(Q291),9)="gmail.com","OK","Typo")</f>
        <v>OK</v>
      </c>
      <c r="T291" s="2" t="str">
        <f>A291&amp;D291&amp;G291&amp;I291&amp;K291&amp;N291&amp;Q291</f>
        <v>SanaFemaleLahoreHR97849.22sana77@gmail.com</v>
      </c>
      <c r="U291" s="2" t="b">
        <f>COUNTIF(T:T,T291)&gt;1</f>
        <v>0</v>
      </c>
    </row>
    <row r="292" spans="1:21">
      <c r="A292" t="s">
        <v>251</v>
      </c>
      <c r="B292" t="b">
        <f>LEN(TRIM(A292))=0</f>
        <v>0</v>
      </c>
      <c r="C292" t="b">
        <f>COUNTIF(A:A,A292)&gt;1</f>
        <v>1</v>
      </c>
      <c r="D292" t="s">
        <v>22</v>
      </c>
      <c r="E292" t="b">
        <f>LEN(TRIM(D292))=0</f>
        <v>0</v>
      </c>
      <c r="F292" t="b">
        <f>EXACT(D292,PROPER(D292))</f>
        <v>1</v>
      </c>
      <c r="H292" t="b">
        <f>LEN(TRIM(G292))=0</f>
        <v>1</v>
      </c>
      <c r="I292" t="s">
        <v>45</v>
      </c>
      <c r="J292" t="b">
        <f>EXACT(I292,PROPER(I292))</f>
        <v>1</v>
      </c>
      <c r="K292" t="s">
        <v>24</v>
      </c>
      <c r="L292" t="str">
        <f>TRIM(K292)</f>
        <v>HR</v>
      </c>
      <c r="M292" t="b">
        <f>K292&lt;&gt;L292</f>
        <v>0</v>
      </c>
      <c r="N292">
        <v>90249.01</v>
      </c>
      <c r="O292" t="b">
        <f>LEN(TRIM(N292))=0</f>
        <v>0</v>
      </c>
      <c r="P292" t="b">
        <f>AND(N292&gt;0, N292&lt;1000000)</f>
        <v>1</v>
      </c>
      <c r="Q292" t="s">
        <v>288</v>
      </c>
      <c r="R292" s="2" t="b">
        <f>LEN(TRIM(Q292))=0</f>
        <v>0</v>
      </c>
      <c r="S292" s="2" t="str">
        <f>IF(RIGHT(TRIM(Q292),9)="gmail.com","OK","Typo")</f>
        <v>OK</v>
      </c>
      <c r="T292" s="2" t="str">
        <f>A292&amp;D292&amp;G292&amp;I292&amp;K292&amp;N292&amp;Q292</f>
        <v>SanaMalePeshawarHR90249.01sana81@gmail.com</v>
      </c>
      <c r="U292" s="2" t="b">
        <f>COUNTIF(T:T,T292)&gt;1</f>
        <v>0</v>
      </c>
    </row>
    <row r="293" spans="1:21">
      <c r="A293" t="s">
        <v>251</v>
      </c>
      <c r="B293" t="b">
        <f>LEN(TRIM(A293))=0</f>
        <v>0</v>
      </c>
      <c r="C293" t="b">
        <f>COUNTIF(A:A,A293)&gt;1</f>
        <v>1</v>
      </c>
      <c r="D293" t="s">
        <v>22</v>
      </c>
      <c r="E293" t="b">
        <f>LEN(TRIM(D293))=0</f>
        <v>0</v>
      </c>
      <c r="F293" t="b">
        <f>EXACT(D293,PROPER(D293))</f>
        <v>1</v>
      </c>
      <c r="G293">
        <v>51</v>
      </c>
      <c r="H293" t="b">
        <f>LEN(TRIM(G293))=0</f>
        <v>0</v>
      </c>
      <c r="I293" t="s">
        <v>32</v>
      </c>
      <c r="J293" t="b">
        <f>EXACT(I293,PROPER(I293))</f>
        <v>1</v>
      </c>
      <c r="K293" t="s">
        <v>24</v>
      </c>
      <c r="L293" t="str">
        <f>TRIM(K293)</f>
        <v>HR</v>
      </c>
      <c r="M293" t="b">
        <f>K293&lt;&gt;L293</f>
        <v>0</v>
      </c>
      <c r="O293" t="b">
        <f>LEN(TRIM(N293))=0</f>
        <v>1</v>
      </c>
      <c r="P293" t="b">
        <f>AND(N293&gt;0, N293&lt;1000000)</f>
        <v>0</v>
      </c>
      <c r="Q293" t="s">
        <v>288</v>
      </c>
      <c r="R293" s="2" t="b">
        <f>LEN(TRIM(Q293))=0</f>
        <v>0</v>
      </c>
      <c r="S293" s="2" t="str">
        <f>IF(RIGHT(TRIM(Q293),9)="gmail.com","OK","Typo")</f>
        <v>OK</v>
      </c>
      <c r="T293" s="2" t="str">
        <f>A293&amp;D293&amp;G293&amp;I293&amp;K293&amp;N293&amp;Q293</f>
        <v>SanaMale51LahoreHRsana81@gmail.com</v>
      </c>
      <c r="U293" s="2" t="b">
        <f>COUNTIF(T:T,T293)&gt;1</f>
        <v>0</v>
      </c>
    </row>
    <row r="294" spans="1:21">
      <c r="A294" t="s">
        <v>251</v>
      </c>
      <c r="B294" t="b">
        <f>LEN(TRIM(A294))=0</f>
        <v>0</v>
      </c>
      <c r="C294" t="b">
        <f>COUNTIF(A:A,A294)&gt;1</f>
        <v>1</v>
      </c>
      <c r="D294" t="s">
        <v>22</v>
      </c>
      <c r="E294" t="b">
        <f>LEN(TRIM(D294))=0</f>
        <v>0</v>
      </c>
      <c r="F294" t="b">
        <f>EXACT(D294,PROPER(D294))</f>
        <v>1</v>
      </c>
      <c r="H294" t="b">
        <f>LEN(TRIM(G294))=0</f>
        <v>1</v>
      </c>
      <c r="I294" t="s">
        <v>32</v>
      </c>
      <c r="J294" t="b">
        <f>EXACT(I294,PROPER(I294))</f>
        <v>1</v>
      </c>
      <c r="K294" t="s">
        <v>24</v>
      </c>
      <c r="L294" t="str">
        <f>TRIM(K294)</f>
        <v>HR</v>
      </c>
      <c r="M294" t="b">
        <f>K294&lt;&gt;L294</f>
        <v>0</v>
      </c>
      <c r="O294" t="b">
        <f>LEN(TRIM(N294))=0</f>
        <v>1</v>
      </c>
      <c r="P294" t="b">
        <f>AND(N294&gt;0, N294&lt;1000000)</f>
        <v>0</v>
      </c>
      <c r="Q294" t="s">
        <v>288</v>
      </c>
      <c r="R294" s="2" t="b">
        <f>LEN(TRIM(Q294))=0</f>
        <v>0</v>
      </c>
      <c r="S294" s="2" t="str">
        <f>IF(RIGHT(TRIM(Q294),9)="gmail.com","OK","Typo")</f>
        <v>OK</v>
      </c>
      <c r="T294" s="2" t="str">
        <f>A294&amp;D294&amp;G294&amp;I294&amp;K294&amp;N294&amp;Q294</f>
        <v>SanaMaleLahoreHRsana81@gmail.com</v>
      </c>
      <c r="U294" s="2" t="b">
        <f>COUNTIF(T:T,T294)&gt;1</f>
        <v>0</v>
      </c>
    </row>
    <row r="295" spans="1:21">
      <c r="A295" t="s">
        <v>251</v>
      </c>
      <c r="B295" t="b">
        <f>LEN(TRIM(A295))=0</f>
        <v>0</v>
      </c>
      <c r="C295" t="b">
        <f>COUNTIF(A:A,A295)&gt;1</f>
        <v>1</v>
      </c>
      <c r="D295" t="s">
        <v>30</v>
      </c>
      <c r="E295" t="b">
        <f>LEN(TRIM(D295))=0</f>
        <v>0</v>
      </c>
      <c r="F295" t="b">
        <f>EXACT(D295,PROPER(D295))</f>
        <v>1</v>
      </c>
      <c r="H295" t="b">
        <f>LEN(TRIM(G295))=0</f>
        <v>1</v>
      </c>
      <c r="I295" t="s">
        <v>37</v>
      </c>
      <c r="J295" t="b">
        <f>EXACT(I295,PROPER(I295))</f>
        <v>1</v>
      </c>
      <c r="K295" t="s">
        <v>38</v>
      </c>
      <c r="L295" t="str">
        <f>TRIM(K295)</f>
        <v>Sales</v>
      </c>
      <c r="M295" t="b">
        <f>K295&lt;&gt;L295</f>
        <v>0</v>
      </c>
      <c r="N295">
        <v>37295.199999999997</v>
      </c>
      <c r="O295" t="b">
        <f>LEN(TRIM(N295))=0</f>
        <v>0</v>
      </c>
      <c r="P295" t="b">
        <f>AND(N295&gt;0, N295&lt;1000000)</f>
        <v>1</v>
      </c>
      <c r="Q295" t="s">
        <v>289</v>
      </c>
      <c r="R295" s="2" t="b">
        <f>LEN(TRIM(Q295))=0</f>
        <v>0</v>
      </c>
      <c r="S295" s="2" t="str">
        <f>IF(RIGHT(TRIM(Q295),9)="gmail.com","OK","Typo")</f>
        <v>OK</v>
      </c>
      <c r="T295" s="2" t="str">
        <f>A295&amp;D295&amp;G295&amp;I295&amp;K295&amp;N295&amp;Q295</f>
        <v>SanaFemaleIslamabadSales37295.2sana84@gmail.com</v>
      </c>
      <c r="U295" s="2" t="b">
        <f>COUNTIF(T:T,T295)&gt;1</f>
        <v>0</v>
      </c>
    </row>
    <row r="296" spans="1:21">
      <c r="A296" t="s">
        <v>251</v>
      </c>
      <c r="B296" t="b">
        <f>LEN(TRIM(A296))=0</f>
        <v>0</v>
      </c>
      <c r="C296" t="b">
        <f>COUNTIF(A:A,A296)&gt;1</f>
        <v>1</v>
      </c>
      <c r="D296" t="s">
        <v>30</v>
      </c>
      <c r="E296" t="b">
        <f>LEN(TRIM(D296))=0</f>
        <v>0</v>
      </c>
      <c r="F296" t="b">
        <f>EXACT(D296,PROPER(D296))</f>
        <v>1</v>
      </c>
      <c r="H296" t="b">
        <f>LEN(TRIM(G296))=0</f>
        <v>1</v>
      </c>
      <c r="I296" t="s">
        <v>37</v>
      </c>
      <c r="J296" t="b">
        <f>EXACT(I296,PROPER(I296))</f>
        <v>1</v>
      </c>
      <c r="K296" t="s">
        <v>24</v>
      </c>
      <c r="L296" t="str">
        <f>TRIM(K296)</f>
        <v>HR</v>
      </c>
      <c r="M296" t="b">
        <f>K296&lt;&gt;L296</f>
        <v>0</v>
      </c>
      <c r="O296" t="b">
        <f>LEN(TRIM(N296))=0</f>
        <v>1</v>
      </c>
      <c r="P296" t="b">
        <f>AND(N296&gt;0, N296&lt;1000000)</f>
        <v>0</v>
      </c>
      <c r="Q296" t="s">
        <v>289</v>
      </c>
      <c r="R296" s="2" t="b">
        <f>LEN(TRIM(Q296))=0</f>
        <v>0</v>
      </c>
      <c r="S296" s="2" t="str">
        <f>IF(RIGHT(TRIM(Q296),9)="gmail.com","OK","Typo")</f>
        <v>OK</v>
      </c>
      <c r="T296" s="2" t="str">
        <f>A296&amp;D296&amp;G296&amp;I296&amp;K296&amp;N296&amp;Q296</f>
        <v>SanaFemaleIslamabadHRsana84@gmail.com</v>
      </c>
      <c r="U296" s="2" t="b">
        <f>COUNTIF(T:T,T296)&gt;1</f>
        <v>0</v>
      </c>
    </row>
    <row r="297" spans="1:21">
      <c r="A297" t="s">
        <v>251</v>
      </c>
      <c r="B297" t="b">
        <f>LEN(TRIM(A297))=0</f>
        <v>0</v>
      </c>
      <c r="C297" t="b">
        <f>COUNTIF(A:A,A297)&gt;1</f>
        <v>1</v>
      </c>
      <c r="D297" t="s">
        <v>22</v>
      </c>
      <c r="E297" t="b">
        <f>LEN(TRIM(D297))=0</f>
        <v>0</v>
      </c>
      <c r="F297" t="b">
        <f>EXACT(D297,PROPER(D297))</f>
        <v>1</v>
      </c>
      <c r="G297">
        <v>52</v>
      </c>
      <c r="H297" t="b">
        <f>LEN(TRIM(G297))=0</f>
        <v>0</v>
      </c>
      <c r="I297" t="s">
        <v>45</v>
      </c>
      <c r="J297" t="b">
        <f>EXACT(I297,PROPER(I297))</f>
        <v>1</v>
      </c>
      <c r="K297" t="s">
        <v>38</v>
      </c>
      <c r="L297" t="str">
        <f>TRIM(K297)</f>
        <v>Sales</v>
      </c>
      <c r="M297" t="b">
        <f>K297&lt;&gt;L297</f>
        <v>0</v>
      </c>
      <c r="O297" t="b">
        <f>LEN(TRIM(N297))=0</f>
        <v>1</v>
      </c>
      <c r="P297" t="b">
        <f>AND(N297&gt;0, N297&lt;1000000)</f>
        <v>0</v>
      </c>
      <c r="Q297" t="s">
        <v>290</v>
      </c>
      <c r="R297" s="2" t="b">
        <f>LEN(TRIM(Q297))=0</f>
        <v>0</v>
      </c>
      <c r="S297" s="2" t="str">
        <f>IF(RIGHT(TRIM(Q297),9)="gmail.com","OK","Typo")</f>
        <v>OK</v>
      </c>
      <c r="T297" s="2" t="str">
        <f>A297&amp;D297&amp;G297&amp;I297&amp;K297&amp;N297&amp;Q297</f>
        <v>SanaMale52PeshawarSalessana86@gmail.com</v>
      </c>
      <c r="U297" s="2" t="b">
        <f>COUNTIF(T:T,T297)&gt;1</f>
        <v>0</v>
      </c>
    </row>
    <row r="298" spans="1:21">
      <c r="A298" t="s">
        <v>251</v>
      </c>
      <c r="B298" t="b">
        <f>LEN(TRIM(A298))=0</f>
        <v>0</v>
      </c>
      <c r="C298" t="b">
        <f>COUNTIF(A:A,A298)&gt;1</f>
        <v>1</v>
      </c>
      <c r="D298" t="s">
        <v>30</v>
      </c>
      <c r="E298" t="b">
        <f>LEN(TRIM(D298))=0</f>
        <v>0</v>
      </c>
      <c r="F298" t="b">
        <f>EXACT(D298,PROPER(D298))</f>
        <v>1</v>
      </c>
      <c r="H298" t="b">
        <f>LEN(TRIM(G298))=0</f>
        <v>1</v>
      </c>
      <c r="I298" t="s">
        <v>32</v>
      </c>
      <c r="J298" t="b">
        <f>EXACT(I298,PROPER(I298))</f>
        <v>1</v>
      </c>
      <c r="K298" t="s">
        <v>38</v>
      </c>
      <c r="L298" t="str">
        <f>TRIM(K298)</f>
        <v>Sales</v>
      </c>
      <c r="M298" t="b">
        <f>K298&lt;&gt;L298</f>
        <v>0</v>
      </c>
      <c r="N298">
        <v>97270.68</v>
      </c>
      <c r="O298" t="b">
        <f>LEN(TRIM(N298))=0</f>
        <v>0</v>
      </c>
      <c r="P298" t="b">
        <f>AND(N298&gt;0, N298&lt;1000000)</f>
        <v>1</v>
      </c>
      <c r="Q298" t="s">
        <v>291</v>
      </c>
      <c r="R298" s="2" t="b">
        <f>LEN(TRIM(Q298))=0</f>
        <v>0</v>
      </c>
      <c r="S298" s="2" t="str">
        <f>IF(RIGHT(TRIM(Q298),9)="gmail.com","OK","Typo")</f>
        <v>OK</v>
      </c>
      <c r="T298" s="2" t="str">
        <f>A298&amp;D298&amp;G298&amp;I298&amp;K298&amp;N298&amp;Q298</f>
        <v>SanaFemaleLahoreSales97270.68sana88@gmail.com</v>
      </c>
      <c r="U298" s="2" t="b">
        <f>COUNTIF(T:T,T298)&gt;1</f>
        <v>0</v>
      </c>
    </row>
    <row r="299" spans="1:21">
      <c r="A299" t="s">
        <v>251</v>
      </c>
      <c r="B299" t="b">
        <f>LEN(TRIM(A299))=0</f>
        <v>0</v>
      </c>
      <c r="C299" t="b">
        <f>COUNTIF(A:A,A299)&gt;1</f>
        <v>1</v>
      </c>
      <c r="D299" t="s">
        <v>30</v>
      </c>
      <c r="E299" t="b">
        <f>LEN(TRIM(D299))=0</f>
        <v>0</v>
      </c>
      <c r="F299" t="b">
        <f>EXACT(D299,PROPER(D299))</f>
        <v>1</v>
      </c>
      <c r="H299" t="b">
        <f>LEN(TRIM(G299))=0</f>
        <v>1</v>
      </c>
      <c r="I299" t="s">
        <v>23</v>
      </c>
      <c r="J299" t="b">
        <f>EXACT(I299,PROPER(I299))</f>
        <v>1</v>
      </c>
      <c r="K299" t="s">
        <v>38</v>
      </c>
      <c r="L299" t="str">
        <f>TRIM(K299)</f>
        <v>Sales</v>
      </c>
      <c r="M299" t="b">
        <f>K299&lt;&gt;L299</f>
        <v>0</v>
      </c>
      <c r="N299">
        <v>91412.1</v>
      </c>
      <c r="O299" t="b">
        <f>LEN(TRIM(N299))=0</f>
        <v>0</v>
      </c>
      <c r="P299" t="b">
        <f>AND(N299&gt;0, N299&lt;1000000)</f>
        <v>1</v>
      </c>
      <c r="Q299" t="s">
        <v>292</v>
      </c>
      <c r="R299" s="2" t="b">
        <f>LEN(TRIM(Q299))=0</f>
        <v>0</v>
      </c>
      <c r="S299" s="2" t="str">
        <f>IF(RIGHT(TRIM(Q299),9)="gmail.com","OK","Typo")</f>
        <v>OK</v>
      </c>
      <c r="T299" s="2" t="str">
        <f>A299&amp;D299&amp;G299&amp;I299&amp;K299&amp;N299&amp;Q299</f>
        <v>SanaFemaleQuettaSales91412.1sana89@gmail.com</v>
      </c>
      <c r="U299" s="2" t="b">
        <f>COUNTIF(T:T,T299)&gt;1</f>
        <v>0</v>
      </c>
    </row>
    <row r="300" spans="1:21">
      <c r="A300" t="s">
        <v>251</v>
      </c>
      <c r="B300" t="b">
        <f>LEN(TRIM(A300))=0</f>
        <v>0</v>
      </c>
      <c r="C300" t="b">
        <f>COUNTIF(A:A,A300)&gt;1</f>
        <v>1</v>
      </c>
      <c r="D300" t="s">
        <v>22</v>
      </c>
      <c r="E300" t="b">
        <f>LEN(TRIM(D300))=0</f>
        <v>0</v>
      </c>
      <c r="F300" t="b">
        <f>EXACT(D300,PROPER(D300))</f>
        <v>1</v>
      </c>
      <c r="H300" t="b">
        <f>LEN(TRIM(G300))=0</f>
        <v>1</v>
      </c>
      <c r="I300" t="s">
        <v>28</v>
      </c>
      <c r="J300" t="b">
        <f>EXACT(I300,PROPER(I300))</f>
        <v>1</v>
      </c>
      <c r="K300" t="s">
        <v>42</v>
      </c>
      <c r="L300" t="str">
        <f>TRIM(K300)</f>
        <v>IT</v>
      </c>
      <c r="M300" t="b">
        <f>K300&lt;&gt;L300</f>
        <v>0</v>
      </c>
      <c r="O300" t="b">
        <f>LEN(TRIM(N300))=0</f>
        <v>1</v>
      </c>
      <c r="P300" t="b">
        <f>AND(N300&gt;0, N300&lt;1000000)</f>
        <v>0</v>
      </c>
      <c r="Q300" t="s">
        <v>293</v>
      </c>
      <c r="R300" s="2" t="b">
        <f>LEN(TRIM(Q300))=0</f>
        <v>0</v>
      </c>
      <c r="S300" s="2" t="str">
        <f>IF(RIGHT(TRIM(Q300),9)="gmail.com","OK","Typo")</f>
        <v>OK</v>
      </c>
      <c r="T300" s="2" t="str">
        <f>A300&amp;D300&amp;G300&amp;I300&amp;K300&amp;N300&amp;Q300</f>
        <v>SanaMaleKarachiITsana9@gmail.com</v>
      </c>
      <c r="U300" s="2" t="b">
        <f>COUNTIF(T:T,T300)&gt;1</f>
        <v>0</v>
      </c>
    </row>
    <row r="301" spans="1:21">
      <c r="A301" t="s">
        <v>251</v>
      </c>
      <c r="B301" t="b">
        <f>LEN(TRIM(A301))=0</f>
        <v>0</v>
      </c>
      <c r="C301" t="b">
        <f>COUNTIF(A:A,A301)&gt;1</f>
        <v>1</v>
      </c>
      <c r="D301" t="s">
        <v>30</v>
      </c>
      <c r="E301" t="b">
        <f>LEN(TRIM(D301))=0</f>
        <v>0</v>
      </c>
      <c r="F301" t="b">
        <f>EXACT(D301,PROPER(D301))</f>
        <v>1</v>
      </c>
      <c r="G301">
        <v>45</v>
      </c>
      <c r="H301" t="b">
        <f>LEN(TRIM(G301))=0</f>
        <v>0</v>
      </c>
      <c r="I301" t="s">
        <v>45</v>
      </c>
      <c r="J301" t="b">
        <f>EXACT(I301,PROPER(I301))</f>
        <v>1</v>
      </c>
      <c r="K301" t="s">
        <v>29</v>
      </c>
      <c r="L301" t="str">
        <f>TRIM(K301)</f>
        <v>Finance</v>
      </c>
      <c r="M301" t="b">
        <f>K301&lt;&gt;L301</f>
        <v>0</v>
      </c>
      <c r="O301" t="b">
        <f>LEN(TRIM(N301))=0</f>
        <v>1</v>
      </c>
      <c r="P301" t="b">
        <f>AND(N301&gt;0, N301&lt;1000000)</f>
        <v>0</v>
      </c>
      <c r="Q301" t="s">
        <v>294</v>
      </c>
      <c r="R301" s="2" t="b">
        <f>LEN(TRIM(Q301))=0</f>
        <v>0</v>
      </c>
      <c r="S301" s="2" t="str">
        <f>IF(RIGHT(TRIM(Q301),9)="gmail.com","OK","Typo")</f>
        <v>OK</v>
      </c>
      <c r="T301" s="2" t="str">
        <f>A301&amp;D301&amp;G301&amp;I301&amp;K301&amp;N301&amp;Q301</f>
        <v>SanaFemale45PeshawarFinancesana91@gmail.com</v>
      </c>
      <c r="U301" s="2" t="b">
        <f>COUNTIF(T:T,T301)&gt;1</f>
        <v>0</v>
      </c>
    </row>
    <row r="302" spans="1:21">
      <c r="A302" t="s">
        <v>251</v>
      </c>
      <c r="B302" t="b">
        <f>LEN(TRIM(A302))=0</f>
        <v>0</v>
      </c>
      <c r="C302" t="b">
        <f>COUNTIF(A:A,A302)&gt;1</f>
        <v>1</v>
      </c>
      <c r="D302" t="s">
        <v>22</v>
      </c>
      <c r="E302" t="b">
        <f>LEN(TRIM(D302))=0</f>
        <v>0</v>
      </c>
      <c r="F302" t="b">
        <f>EXACT(D302,PROPER(D302))</f>
        <v>1</v>
      </c>
      <c r="H302" t="b">
        <f>LEN(TRIM(G302))=0</f>
        <v>1</v>
      </c>
      <c r="I302" t="s">
        <v>32</v>
      </c>
      <c r="J302" t="b">
        <f>EXACT(I302,PROPER(I302))</f>
        <v>1</v>
      </c>
      <c r="K302" t="s">
        <v>35</v>
      </c>
      <c r="L302" t="str">
        <f>TRIM(K302)</f>
        <v>Marketing</v>
      </c>
      <c r="M302" t="b">
        <f>K302&lt;&gt;L302</f>
        <v>0</v>
      </c>
      <c r="O302" t="b">
        <f>LEN(TRIM(N302))=0</f>
        <v>1</v>
      </c>
      <c r="P302" t="b">
        <f>AND(N302&gt;0, N302&lt;1000000)</f>
        <v>0</v>
      </c>
      <c r="Q302" t="s">
        <v>294</v>
      </c>
      <c r="R302" s="2" t="b">
        <f>LEN(TRIM(Q302))=0</f>
        <v>0</v>
      </c>
      <c r="S302" s="2" t="str">
        <f>IF(RIGHT(TRIM(Q302),9)="gmail.com","OK","Typo")</f>
        <v>OK</v>
      </c>
      <c r="T302" s="2" t="str">
        <f>A302&amp;D302&amp;G302&amp;I302&amp;K302&amp;N302&amp;Q302</f>
        <v>SanaMaleLahoreMarketingsana91@gmail.com</v>
      </c>
      <c r="U302" s="2" t="b">
        <f>COUNTIF(T:T,T302)&gt;1</f>
        <v>0</v>
      </c>
    </row>
    <row r="303" spans="1:21">
      <c r="A303" t="s">
        <v>251</v>
      </c>
      <c r="B303" t="b">
        <f>LEN(TRIM(A303))=0</f>
        <v>0</v>
      </c>
      <c r="C303" t="b">
        <f>COUNTIF(A:A,A303)&gt;1</f>
        <v>1</v>
      </c>
      <c r="D303" t="s">
        <v>22</v>
      </c>
      <c r="E303" t="b">
        <f>LEN(TRIM(D303))=0</f>
        <v>0</v>
      </c>
      <c r="F303" t="b">
        <f>EXACT(D303,PROPER(D303))</f>
        <v>1</v>
      </c>
      <c r="G303">
        <v>50</v>
      </c>
      <c r="H303" t="b">
        <f>LEN(TRIM(G303))=0</f>
        <v>0</v>
      </c>
      <c r="I303" t="s">
        <v>28</v>
      </c>
      <c r="J303" t="b">
        <f>EXACT(I303,PROPER(I303))</f>
        <v>1</v>
      </c>
      <c r="K303" t="s">
        <v>42</v>
      </c>
      <c r="L303" t="str">
        <f>TRIM(K303)</f>
        <v>IT</v>
      </c>
      <c r="M303" t="b">
        <f>K303&lt;&gt;L303</f>
        <v>0</v>
      </c>
      <c r="O303" t="b">
        <f>LEN(TRIM(N303))=0</f>
        <v>1</v>
      </c>
      <c r="P303" t="b">
        <f>AND(N303&gt;0, N303&lt;1000000)</f>
        <v>0</v>
      </c>
      <c r="Q303" t="s">
        <v>295</v>
      </c>
      <c r="R303" s="2" t="b">
        <f>LEN(TRIM(Q303))=0</f>
        <v>0</v>
      </c>
      <c r="S303" s="2" t="str">
        <f>IF(RIGHT(TRIM(Q303),9)="gmail.com","OK","Typo")</f>
        <v>OK</v>
      </c>
      <c r="T303" s="2" t="str">
        <f>A303&amp;D303&amp;G303&amp;I303&amp;K303&amp;N303&amp;Q303</f>
        <v>SanaMale50KarachiITsana93@gmail.com</v>
      </c>
      <c r="U303" s="2" t="b">
        <f>COUNTIF(T:T,T303)&gt;1</f>
        <v>0</v>
      </c>
    </row>
    <row r="304" spans="1:21">
      <c r="A304" t="s">
        <v>251</v>
      </c>
      <c r="B304" t="b">
        <f>LEN(TRIM(A304))=0</f>
        <v>0</v>
      </c>
      <c r="C304" t="b">
        <f>COUNTIF(A:A,A304)&gt;1</f>
        <v>1</v>
      </c>
      <c r="D304" t="s">
        <v>22</v>
      </c>
      <c r="E304" t="b">
        <f>LEN(TRIM(D304))=0</f>
        <v>0</v>
      </c>
      <c r="F304" t="b">
        <f>EXACT(D304,PROPER(D304))</f>
        <v>1</v>
      </c>
      <c r="G304">
        <v>53</v>
      </c>
      <c r="H304" t="b">
        <f>LEN(TRIM(G304))=0</f>
        <v>0</v>
      </c>
      <c r="I304" t="s">
        <v>45</v>
      </c>
      <c r="J304" t="b">
        <f>EXACT(I304,PROPER(I304))</f>
        <v>1</v>
      </c>
      <c r="K304" t="s">
        <v>29</v>
      </c>
      <c r="L304" t="str">
        <f>TRIM(K304)</f>
        <v>Finance</v>
      </c>
      <c r="M304" t="b">
        <f>K304&lt;&gt;L304</f>
        <v>0</v>
      </c>
      <c r="O304" t="b">
        <f>LEN(TRIM(N304))=0</f>
        <v>1</v>
      </c>
      <c r="P304" t="b">
        <f>AND(N304&gt;0, N304&lt;1000000)</f>
        <v>0</v>
      </c>
      <c r="Q304" t="s">
        <v>296</v>
      </c>
      <c r="R304" s="2" t="b">
        <f>LEN(TRIM(Q304))=0</f>
        <v>0</v>
      </c>
      <c r="S304" s="2" t="str">
        <f>IF(RIGHT(TRIM(Q304),9)="gmail.com","OK","Typo")</f>
        <v>OK</v>
      </c>
      <c r="T304" s="2" t="str">
        <f>A304&amp;D304&amp;G304&amp;I304&amp;K304&amp;N304&amp;Q304</f>
        <v>SanaMale53PeshawarFinancesana94@gmail.com</v>
      </c>
      <c r="U304" s="2" t="b">
        <f>COUNTIF(T:T,T304)&gt;1</f>
        <v>0</v>
      </c>
    </row>
    <row r="305" spans="1:21">
      <c r="A305" t="s">
        <v>251</v>
      </c>
      <c r="B305" t="b">
        <f>LEN(TRIM(A305))=0</f>
        <v>0</v>
      </c>
      <c r="C305" t="b">
        <f>COUNTIF(A:A,A305)&gt;1</f>
        <v>1</v>
      </c>
      <c r="D305" t="s">
        <v>22</v>
      </c>
      <c r="E305" t="b">
        <f>LEN(TRIM(D305))=0</f>
        <v>0</v>
      </c>
      <c r="F305" t="b">
        <f>EXACT(D305,PROPER(D305))</f>
        <v>1</v>
      </c>
      <c r="G305">
        <v>40</v>
      </c>
      <c r="H305" t="b">
        <f>LEN(TRIM(G305))=0</f>
        <v>0</v>
      </c>
      <c r="I305" t="s">
        <v>31</v>
      </c>
      <c r="J305" t="b">
        <f>EXACT(I305,PROPER(I305))</f>
        <v>0</v>
      </c>
      <c r="K305" t="s">
        <v>35</v>
      </c>
      <c r="L305" t="str">
        <f>TRIM(K305)</f>
        <v>Marketing</v>
      </c>
      <c r="M305" t="b">
        <f>K305&lt;&gt;L305</f>
        <v>0</v>
      </c>
      <c r="O305" t="b">
        <f>LEN(TRIM(N305))=0</f>
        <v>1</v>
      </c>
      <c r="P305" t="b">
        <f>AND(N305&gt;0, N305&lt;1000000)</f>
        <v>0</v>
      </c>
      <c r="Q305" t="s">
        <v>297</v>
      </c>
      <c r="R305" s="2" t="b">
        <f>LEN(TRIM(Q305))=0</f>
        <v>0</v>
      </c>
      <c r="S305" s="2" t="str">
        <f>IF(RIGHT(TRIM(Q305),9)="gmail.com","OK","Typo")</f>
        <v>OK</v>
      </c>
      <c r="T305" s="2" t="str">
        <f>A305&amp;D305&amp;G305&amp;I305&amp;K305&amp;N305&amp;Q305</f>
        <v>SanaMale40quettaMarketingsana95@gmail.com</v>
      </c>
      <c r="U305" s="2" t="b">
        <f>COUNTIF(T:T,T305)&gt;1</f>
        <v>0</v>
      </c>
    </row>
    <row r="306" spans="1:21">
      <c r="A306" t="s">
        <v>251</v>
      </c>
      <c r="B306" t="b">
        <f>LEN(TRIM(A306))=0</f>
        <v>0</v>
      </c>
      <c r="C306" t="b">
        <f>COUNTIF(A:A,A306)&gt;1</f>
        <v>1</v>
      </c>
      <c r="D306" t="s">
        <v>30</v>
      </c>
      <c r="E306" t="b">
        <f>LEN(TRIM(D306))=0</f>
        <v>0</v>
      </c>
      <c r="F306" t="b">
        <f>EXACT(D306,PROPER(D306))</f>
        <v>1</v>
      </c>
      <c r="H306" t="b">
        <f>LEN(TRIM(G306))=0</f>
        <v>1</v>
      </c>
      <c r="I306" t="s">
        <v>23</v>
      </c>
      <c r="J306" t="b">
        <f>EXACT(I306,PROPER(I306))</f>
        <v>1</v>
      </c>
      <c r="K306" t="s">
        <v>35</v>
      </c>
      <c r="L306" t="str">
        <f>TRIM(K306)</f>
        <v>Marketing</v>
      </c>
      <c r="M306" t="b">
        <f>K306&lt;&gt;L306</f>
        <v>0</v>
      </c>
      <c r="N306">
        <v>127405.33</v>
      </c>
      <c r="O306" t="b">
        <f>LEN(TRIM(N306))=0</f>
        <v>0</v>
      </c>
      <c r="P306" t="b">
        <f>AND(N306&gt;0, N306&lt;1000000)</f>
        <v>1</v>
      </c>
      <c r="Q306" t="s">
        <v>298</v>
      </c>
      <c r="R306" s="2" t="b">
        <f>LEN(TRIM(Q306))=0</f>
        <v>0</v>
      </c>
      <c r="S306" s="2" t="str">
        <f>IF(RIGHT(TRIM(Q306),9)="gmail.com","OK","Typo")</f>
        <v>OK</v>
      </c>
      <c r="T306" s="2" t="str">
        <f>A306&amp;D306&amp;G306&amp;I306&amp;K306&amp;N306&amp;Q306</f>
        <v>SanaFemaleQuettaMarketing127405.33sana98@gmail.com</v>
      </c>
      <c r="U306" s="2" t="b">
        <f>COUNTIF(T:T,T306)&gt;1</f>
        <v>0</v>
      </c>
    </row>
    <row r="307" spans="1:21">
      <c r="A307" t="s">
        <v>299</v>
      </c>
      <c r="B307" t="b">
        <f>LEN(TRIM(A307))=0</f>
        <v>0</v>
      </c>
      <c r="C307" t="b">
        <f>COUNTIF(A:A,A307)&gt;1</f>
        <v>1</v>
      </c>
      <c r="D307" t="s">
        <v>30</v>
      </c>
      <c r="E307" t="b">
        <f>LEN(TRIM(D307))=0</f>
        <v>0</v>
      </c>
      <c r="F307" t="b">
        <f>EXACT(D307,PROPER(D307))</f>
        <v>1</v>
      </c>
      <c r="H307" t="b">
        <f>LEN(TRIM(G307))=0</f>
        <v>1</v>
      </c>
      <c r="I307" t="s">
        <v>37</v>
      </c>
      <c r="J307" t="b">
        <f>EXACT(I307,PROPER(I307))</f>
        <v>1</v>
      </c>
      <c r="K307" t="s">
        <v>29</v>
      </c>
      <c r="L307" t="str">
        <f>TRIM(K307)</f>
        <v>Finance</v>
      </c>
      <c r="M307" t="b">
        <f>K307&lt;&gt;L307</f>
        <v>0</v>
      </c>
      <c r="N307">
        <v>86549.46</v>
      </c>
      <c r="O307" t="b">
        <f>LEN(TRIM(N307))=0</f>
        <v>0</v>
      </c>
      <c r="P307" t="b">
        <f>AND(N307&gt;0, N307&lt;1000000)</f>
        <v>1</v>
      </c>
      <c r="Q307" t="s">
        <v>300</v>
      </c>
      <c r="R307" s="2" t="b">
        <f>LEN(TRIM(Q307))=0</f>
        <v>0</v>
      </c>
      <c r="S307" s="2" t="str">
        <f>IF(RIGHT(TRIM(Q307),9)="gmail.com","OK","Typo")</f>
        <v>OK</v>
      </c>
      <c r="T307" s="2" t="str">
        <f>A307&amp;D307&amp;G307&amp;I307&amp;K307&amp;N307&amp;Q307</f>
        <v>SaraFemaleIslamabadFinance86549.46sara1@gmail.com</v>
      </c>
      <c r="U307" s="2" t="b">
        <f>COUNTIF(T:T,T307)&gt;1</f>
        <v>0</v>
      </c>
    </row>
    <row r="308" spans="1:21">
      <c r="A308" t="s">
        <v>299</v>
      </c>
      <c r="B308" t="b">
        <f>LEN(TRIM(A308))=0</f>
        <v>0</v>
      </c>
      <c r="C308" t="b">
        <f>COUNTIF(A:A,A308)&gt;1</f>
        <v>1</v>
      </c>
      <c r="D308" t="s">
        <v>22</v>
      </c>
      <c r="E308" t="b">
        <f>LEN(TRIM(D308))=0</f>
        <v>0</v>
      </c>
      <c r="F308" t="b">
        <f>EXACT(D308,PROPER(D308))</f>
        <v>1</v>
      </c>
      <c r="H308" t="b">
        <f>LEN(TRIM(G308))=0</f>
        <v>1</v>
      </c>
      <c r="I308" t="s">
        <v>37</v>
      </c>
      <c r="J308" t="b">
        <f>EXACT(I308,PROPER(I308))</f>
        <v>1</v>
      </c>
      <c r="K308" t="s">
        <v>38</v>
      </c>
      <c r="L308" t="str">
        <f>TRIM(K308)</f>
        <v>Sales</v>
      </c>
      <c r="M308" t="b">
        <f>K308&lt;&gt;L308</f>
        <v>0</v>
      </c>
      <c r="O308" t="b">
        <f>LEN(TRIM(N308))=0</f>
        <v>1</v>
      </c>
      <c r="P308" t="b">
        <f>AND(N308&gt;0, N308&lt;1000000)</f>
        <v>0</v>
      </c>
      <c r="Q308" t="s">
        <v>301</v>
      </c>
      <c r="R308" s="2" t="b">
        <f>LEN(TRIM(Q308))=0</f>
        <v>0</v>
      </c>
      <c r="S308" s="2" t="str">
        <f>IF(RIGHT(TRIM(Q308),9)="gmail.com","OK","Typo")</f>
        <v>OK</v>
      </c>
      <c r="T308" s="2" t="str">
        <f>A308&amp;D308&amp;G308&amp;I308&amp;K308&amp;N308&amp;Q308</f>
        <v>SaraMaleIslamabadSalessara12@gmail.com</v>
      </c>
      <c r="U308" s="2" t="b">
        <f>COUNTIF(T:T,T308)&gt;1</f>
        <v>0</v>
      </c>
    </row>
    <row r="309" spans="1:21">
      <c r="A309" t="s">
        <v>299</v>
      </c>
      <c r="B309" t="b">
        <f>LEN(TRIM(A309))=0</f>
        <v>0</v>
      </c>
      <c r="C309" t="b">
        <f>COUNTIF(A:A,A309)&gt;1</f>
        <v>1</v>
      </c>
      <c r="D309" t="s">
        <v>22</v>
      </c>
      <c r="E309" t="b">
        <f>LEN(TRIM(D309))=0</f>
        <v>0</v>
      </c>
      <c r="F309" t="b">
        <f>EXACT(D309,PROPER(D309))</f>
        <v>1</v>
      </c>
      <c r="G309">
        <v>29</v>
      </c>
      <c r="H309" t="b">
        <f>LEN(TRIM(G309))=0</f>
        <v>0</v>
      </c>
      <c r="I309" t="s">
        <v>32</v>
      </c>
      <c r="J309" t="b">
        <f>EXACT(I309,PROPER(I309))</f>
        <v>1</v>
      </c>
      <c r="K309" t="s">
        <v>26</v>
      </c>
      <c r="L309" t="str">
        <f>TRIM(K309)</f>
        <v>HR</v>
      </c>
      <c r="M309" t="b">
        <f>K309&lt;&gt;L309</f>
        <v>1</v>
      </c>
      <c r="N309">
        <v>107446.96</v>
      </c>
      <c r="O309" t="b">
        <f>LEN(TRIM(N309))=0</f>
        <v>0</v>
      </c>
      <c r="P309" t="b">
        <f>AND(N309&gt;0, N309&lt;1000000)</f>
        <v>1</v>
      </c>
      <c r="Q309" t="s">
        <v>302</v>
      </c>
      <c r="R309" s="2" t="b">
        <f>LEN(TRIM(Q309))=0</f>
        <v>0</v>
      </c>
      <c r="S309" s="2" t="str">
        <f>IF(RIGHT(TRIM(Q309),9)="gmail.com","OK","Typo")</f>
        <v>OK</v>
      </c>
      <c r="T309" s="2" t="str">
        <f>A309&amp;D309&amp;G309&amp;I309&amp;K309&amp;N309&amp;Q309</f>
        <v>SaraMale29Lahore HR 107446.96sara15@gmail.com</v>
      </c>
      <c r="U309" s="2" t="b">
        <f>COUNTIF(T:T,T309)&gt;1</f>
        <v>0</v>
      </c>
    </row>
    <row r="310" spans="1:21">
      <c r="A310" t="s">
        <v>299</v>
      </c>
      <c r="B310" t="b">
        <f>LEN(TRIM(A310))=0</f>
        <v>0</v>
      </c>
      <c r="C310" t="b">
        <f>COUNTIF(A:A,A310)&gt;1</f>
        <v>1</v>
      </c>
      <c r="D310" t="s">
        <v>30</v>
      </c>
      <c r="E310" t="b">
        <f>LEN(TRIM(D310))=0</f>
        <v>0</v>
      </c>
      <c r="F310" t="b">
        <f>EXACT(D310,PROPER(D310))</f>
        <v>1</v>
      </c>
      <c r="G310">
        <v>55</v>
      </c>
      <c r="H310" t="b">
        <f>LEN(TRIM(G310))=0</f>
        <v>0</v>
      </c>
      <c r="I310" t="s">
        <v>32</v>
      </c>
      <c r="J310" t="b">
        <f>EXACT(I310,PROPER(I310))</f>
        <v>1</v>
      </c>
      <c r="K310" t="s">
        <v>74</v>
      </c>
      <c r="L310" t="str">
        <f>TRIM(K310)</f>
        <v>Marketing</v>
      </c>
      <c r="M310" t="b">
        <f>K310&lt;&gt;L310</f>
        <v>1</v>
      </c>
      <c r="O310" t="b">
        <f>LEN(TRIM(N310))=0</f>
        <v>1</v>
      </c>
      <c r="P310" t="b">
        <f>AND(N310&gt;0, N310&lt;1000000)</f>
        <v>0</v>
      </c>
      <c r="Q310" t="s">
        <v>302</v>
      </c>
      <c r="R310" s="2" t="b">
        <f>LEN(TRIM(Q310))=0</f>
        <v>0</v>
      </c>
      <c r="S310" s="2" t="str">
        <f>IF(RIGHT(TRIM(Q310),9)="gmail.com","OK","Typo")</f>
        <v>OK</v>
      </c>
      <c r="T310" s="2" t="str">
        <f>A310&amp;D310&amp;G310&amp;I310&amp;K310&amp;N310&amp;Q310</f>
        <v>SaraFemale55Lahore Marketing sara15@gmail.com</v>
      </c>
      <c r="U310" s="2" t="b">
        <f>COUNTIF(T:T,T310)&gt;1</f>
        <v>0</v>
      </c>
    </row>
    <row r="311" spans="1:21">
      <c r="A311" t="s">
        <v>299</v>
      </c>
      <c r="B311" t="b">
        <f>LEN(TRIM(A311))=0</f>
        <v>0</v>
      </c>
      <c r="C311" t="b">
        <f>COUNTIF(A:A,A311)&gt;1</f>
        <v>1</v>
      </c>
      <c r="D311" t="s">
        <v>30</v>
      </c>
      <c r="E311" t="b">
        <f>LEN(TRIM(D311))=0</f>
        <v>0</v>
      </c>
      <c r="F311" t="b">
        <f>EXACT(D311,PROPER(D311))</f>
        <v>1</v>
      </c>
      <c r="G311">
        <v>39</v>
      </c>
      <c r="H311" t="b">
        <f>LEN(TRIM(G311))=0</f>
        <v>0</v>
      </c>
      <c r="I311" t="s">
        <v>23</v>
      </c>
      <c r="J311" t="b">
        <f>EXACT(I311,PROPER(I311))</f>
        <v>1</v>
      </c>
      <c r="K311" t="s">
        <v>24</v>
      </c>
      <c r="L311" t="str">
        <f>TRIM(K311)</f>
        <v>HR</v>
      </c>
      <c r="M311" t="b">
        <f>K311&lt;&gt;L311</f>
        <v>0</v>
      </c>
      <c r="N311">
        <v>146622.76999999999</v>
      </c>
      <c r="O311" t="b">
        <f>LEN(TRIM(N311))=0</f>
        <v>0</v>
      </c>
      <c r="P311" t="b">
        <f>AND(N311&gt;0, N311&lt;1000000)</f>
        <v>1</v>
      </c>
      <c r="Q311" t="s">
        <v>302</v>
      </c>
      <c r="R311" s="2" t="b">
        <f>LEN(TRIM(Q311))=0</f>
        <v>0</v>
      </c>
      <c r="S311" s="2" t="str">
        <f>IF(RIGHT(TRIM(Q311),9)="gmail.com","OK","Typo")</f>
        <v>OK</v>
      </c>
      <c r="T311" s="2" t="str">
        <f>A311&amp;D311&amp;G311&amp;I311&amp;K311&amp;N311&amp;Q311</f>
        <v>SaraFemale39QuettaHR146622.77sara15@gmail.com</v>
      </c>
      <c r="U311" s="2" t="b">
        <f>COUNTIF(T:T,T311)&gt;1</f>
        <v>0</v>
      </c>
    </row>
    <row r="312" spans="1:21">
      <c r="A312" t="s">
        <v>299</v>
      </c>
      <c r="B312" t="b">
        <f>LEN(TRIM(A312))=0</f>
        <v>0</v>
      </c>
      <c r="C312" t="b">
        <f>COUNTIF(A:A,A312)&gt;1</f>
        <v>1</v>
      </c>
      <c r="D312" t="s">
        <v>30</v>
      </c>
      <c r="E312" t="b">
        <f>LEN(TRIM(D312))=0</f>
        <v>0</v>
      </c>
      <c r="F312" t="b">
        <f>EXACT(D312,PROPER(D312))</f>
        <v>1</v>
      </c>
      <c r="G312">
        <v>39</v>
      </c>
      <c r="H312" t="b">
        <f>LEN(TRIM(G312))=0</f>
        <v>0</v>
      </c>
      <c r="I312" t="s">
        <v>37</v>
      </c>
      <c r="J312" t="b">
        <f>EXACT(I312,PROPER(I312))</f>
        <v>1</v>
      </c>
      <c r="K312" t="s">
        <v>60</v>
      </c>
      <c r="L312" t="str">
        <f>TRIM(K312)</f>
        <v>Finance</v>
      </c>
      <c r="M312" t="b">
        <f>K312&lt;&gt;L312</f>
        <v>1</v>
      </c>
      <c r="O312" t="b">
        <f>LEN(TRIM(N312))=0</f>
        <v>1</v>
      </c>
      <c r="P312" t="b">
        <f>AND(N312&gt;0, N312&lt;1000000)</f>
        <v>0</v>
      </c>
      <c r="Q312" t="s">
        <v>303</v>
      </c>
      <c r="R312" s="2" t="b">
        <f>LEN(TRIM(Q312))=0</f>
        <v>0</v>
      </c>
      <c r="S312" s="2" t="str">
        <f>IF(RIGHT(TRIM(Q312),9)="gmail.com","OK","Typo")</f>
        <v>OK</v>
      </c>
      <c r="T312" s="2" t="str">
        <f>A312&amp;D312&amp;G312&amp;I312&amp;K312&amp;N312&amp;Q312</f>
        <v>SaraFemale39Islamabad Finance sara23@gmail.com</v>
      </c>
      <c r="U312" s="2" t="b">
        <f>COUNTIF(T:T,T312)&gt;1</f>
        <v>0</v>
      </c>
    </row>
    <row r="313" spans="1:21">
      <c r="A313" t="s">
        <v>299</v>
      </c>
      <c r="B313" t="b">
        <f>LEN(TRIM(A313))=0</f>
        <v>0</v>
      </c>
      <c r="C313" t="b">
        <f>COUNTIF(A:A,A313)&gt;1</f>
        <v>1</v>
      </c>
      <c r="D313" t="s">
        <v>22</v>
      </c>
      <c r="E313" t="b">
        <f>LEN(TRIM(D313))=0</f>
        <v>0</v>
      </c>
      <c r="F313" t="b">
        <f>EXACT(D313,PROPER(D313))</f>
        <v>1</v>
      </c>
      <c r="H313" t="b">
        <f>LEN(TRIM(G313))=0</f>
        <v>1</v>
      </c>
      <c r="I313" t="s">
        <v>52</v>
      </c>
      <c r="J313" t="b">
        <f>EXACT(I313,PROPER(I313))</f>
        <v>0</v>
      </c>
      <c r="K313" t="s">
        <v>38</v>
      </c>
      <c r="L313" t="str">
        <f>TRIM(K313)</f>
        <v>Sales</v>
      </c>
      <c r="M313" t="b">
        <f>K313&lt;&gt;L313</f>
        <v>0</v>
      </c>
      <c r="N313">
        <v>66897.86</v>
      </c>
      <c r="O313" t="b">
        <f>LEN(TRIM(N313))=0</f>
        <v>0</v>
      </c>
      <c r="P313" t="b">
        <f>AND(N313&gt;0, N313&lt;1000000)</f>
        <v>1</v>
      </c>
      <c r="Q313" t="s">
        <v>303</v>
      </c>
      <c r="R313" s="2" t="b">
        <f>LEN(TRIM(Q313))=0</f>
        <v>0</v>
      </c>
      <c r="S313" s="2" t="str">
        <f>IF(RIGHT(TRIM(Q313),9)="gmail.com","OK","Typo")</f>
        <v>OK</v>
      </c>
      <c r="T313" s="2" t="str">
        <f>A313&amp;D313&amp;G313&amp;I313&amp;K313&amp;N313&amp;Q313</f>
        <v>SaraMalelahoreSales66897.86sara23@gmail.com</v>
      </c>
      <c r="U313" s="2" t="b">
        <f>COUNTIF(T:T,T313)&gt;1</f>
        <v>0</v>
      </c>
    </row>
    <row r="314" spans="1:21">
      <c r="A314" t="s">
        <v>299</v>
      </c>
      <c r="B314" t="b">
        <f>LEN(TRIM(A314))=0</f>
        <v>0</v>
      </c>
      <c r="C314" t="b">
        <f>COUNTIF(A:A,A314)&gt;1</f>
        <v>1</v>
      </c>
      <c r="D314" t="s">
        <v>30</v>
      </c>
      <c r="E314" t="b">
        <f>LEN(TRIM(D314))=0</f>
        <v>0</v>
      </c>
      <c r="F314" t="b">
        <f>EXACT(D314,PROPER(D314))</f>
        <v>1</v>
      </c>
      <c r="G314">
        <v>23</v>
      </c>
      <c r="H314" t="b">
        <f>LEN(TRIM(G314))=0</f>
        <v>0</v>
      </c>
      <c r="I314" t="s">
        <v>28</v>
      </c>
      <c r="J314" t="b">
        <f>EXACT(I314,PROPER(I314))</f>
        <v>1</v>
      </c>
      <c r="K314" t="s">
        <v>42</v>
      </c>
      <c r="L314" t="str">
        <f>TRIM(K314)</f>
        <v>IT</v>
      </c>
      <c r="M314" t="b">
        <f>K314&lt;&gt;L314</f>
        <v>0</v>
      </c>
      <c r="O314" t="b">
        <f>LEN(TRIM(N314))=0</f>
        <v>1</v>
      </c>
      <c r="P314" t="b">
        <f>AND(N314&gt;0, N314&lt;1000000)</f>
        <v>0</v>
      </c>
      <c r="Q314" t="s">
        <v>304</v>
      </c>
      <c r="R314" s="2" t="b">
        <f>LEN(TRIM(Q314))=0</f>
        <v>0</v>
      </c>
      <c r="S314" s="2" t="str">
        <f>IF(RIGHT(TRIM(Q314),9)="gmail.com","OK","Typo")</f>
        <v>OK</v>
      </c>
      <c r="T314" s="2" t="str">
        <f>A314&amp;D314&amp;G314&amp;I314&amp;K314&amp;N314&amp;Q314</f>
        <v>SaraFemale23KarachiITsara28@gmail.com</v>
      </c>
      <c r="U314" s="2" t="b">
        <f>COUNTIF(T:T,T314)&gt;1</f>
        <v>0</v>
      </c>
    </row>
    <row r="315" spans="1:21">
      <c r="A315" t="s">
        <v>299</v>
      </c>
      <c r="B315" t="b">
        <f>LEN(TRIM(A315))=0</f>
        <v>0</v>
      </c>
      <c r="C315" t="b">
        <f>COUNTIF(A:A,A315)&gt;1</f>
        <v>1</v>
      </c>
      <c r="D315" t="s">
        <v>22</v>
      </c>
      <c r="E315" t="b">
        <f>LEN(TRIM(D315))=0</f>
        <v>0</v>
      </c>
      <c r="F315" t="b">
        <f>EXACT(D315,PROPER(D315))</f>
        <v>1</v>
      </c>
      <c r="G315">
        <v>45</v>
      </c>
      <c r="H315" t="b">
        <f>LEN(TRIM(G315))=0</f>
        <v>0</v>
      </c>
      <c r="I315" t="s">
        <v>45</v>
      </c>
      <c r="J315" t="b">
        <f>EXACT(I315,PROPER(I315))</f>
        <v>1</v>
      </c>
      <c r="K315" t="s">
        <v>26</v>
      </c>
      <c r="L315" t="str">
        <f>TRIM(K315)</f>
        <v>HR</v>
      </c>
      <c r="M315" t="b">
        <f>K315&lt;&gt;L315</f>
        <v>1</v>
      </c>
      <c r="N315">
        <v>129050.21</v>
      </c>
      <c r="O315" t="b">
        <f>LEN(TRIM(N315))=0</f>
        <v>0</v>
      </c>
      <c r="P315" t="b">
        <f>AND(N315&gt;0, N315&lt;1000000)</f>
        <v>1</v>
      </c>
      <c r="Q315" t="s">
        <v>305</v>
      </c>
      <c r="R315" s="2" t="b">
        <f>LEN(TRIM(Q315))=0</f>
        <v>0</v>
      </c>
      <c r="S315" s="2" t="str">
        <f>IF(RIGHT(TRIM(Q315),9)="gmail.com","OK","Typo")</f>
        <v>OK</v>
      </c>
      <c r="T315" s="2" t="str">
        <f>A315&amp;D315&amp;G315&amp;I315&amp;K315&amp;N315&amp;Q315</f>
        <v>SaraMale45Peshawar HR 129050.21sara33@gmail.com</v>
      </c>
      <c r="U315" s="2" t="b">
        <f>COUNTIF(T:T,T315)&gt;1</f>
        <v>0</v>
      </c>
    </row>
    <row r="316" spans="1:21">
      <c r="A316" t="s">
        <v>299</v>
      </c>
      <c r="B316" t="b">
        <f>LEN(TRIM(A316))=0</f>
        <v>0</v>
      </c>
      <c r="C316" t="b">
        <f>COUNTIF(A:A,A316)&gt;1</f>
        <v>1</v>
      </c>
      <c r="D316" t="s">
        <v>30</v>
      </c>
      <c r="E316" t="b">
        <f>LEN(TRIM(D316))=0</f>
        <v>0</v>
      </c>
      <c r="F316" t="b">
        <f>EXACT(D316,PROPER(D316))</f>
        <v>1</v>
      </c>
      <c r="H316" t="b">
        <f>LEN(TRIM(G316))=0</f>
        <v>1</v>
      </c>
      <c r="I316" t="s">
        <v>45</v>
      </c>
      <c r="J316" t="b">
        <f>EXACT(I316,PROPER(I316))</f>
        <v>1</v>
      </c>
      <c r="K316" t="s">
        <v>35</v>
      </c>
      <c r="L316" t="str">
        <f>TRIM(K316)</f>
        <v>Marketing</v>
      </c>
      <c r="M316" t="b">
        <f>K316&lt;&gt;L316</f>
        <v>0</v>
      </c>
      <c r="O316" t="b">
        <f>LEN(TRIM(N316))=0</f>
        <v>1</v>
      </c>
      <c r="P316" t="b">
        <f>AND(N316&gt;0, N316&lt;1000000)</f>
        <v>0</v>
      </c>
      <c r="Q316" t="s">
        <v>306</v>
      </c>
      <c r="R316" s="2" t="b">
        <f>LEN(TRIM(Q316))=0</f>
        <v>0</v>
      </c>
      <c r="S316" s="2" t="str">
        <f>IF(RIGHT(TRIM(Q316),9)="gmail.com","OK","Typo")</f>
        <v>OK</v>
      </c>
      <c r="T316" s="2" t="str">
        <f>A316&amp;D316&amp;G316&amp;I316&amp;K316&amp;N316&amp;Q316</f>
        <v>SaraFemalePeshawarMarketingsara4@gmail.com</v>
      </c>
      <c r="U316" s="2" t="b">
        <f>COUNTIF(T:T,T316)&gt;1</f>
        <v>0</v>
      </c>
    </row>
    <row r="317" spans="1:21">
      <c r="A317" t="s">
        <v>299</v>
      </c>
      <c r="B317" t="b">
        <f>LEN(TRIM(A317))=0</f>
        <v>0</v>
      </c>
      <c r="C317" t="b">
        <f>COUNTIF(A:A,A317)&gt;1</f>
        <v>1</v>
      </c>
      <c r="D317" t="s">
        <v>30</v>
      </c>
      <c r="E317" t="b">
        <f>LEN(TRIM(D317))=0</f>
        <v>0</v>
      </c>
      <c r="F317" t="b">
        <f>EXACT(D317,PROPER(D317))</f>
        <v>1</v>
      </c>
      <c r="H317" t="b">
        <f>LEN(TRIM(G317))=0</f>
        <v>1</v>
      </c>
      <c r="I317" t="s">
        <v>28</v>
      </c>
      <c r="J317" t="b">
        <f>EXACT(I317,PROPER(I317))</f>
        <v>1</v>
      </c>
      <c r="K317" t="s">
        <v>38</v>
      </c>
      <c r="L317" t="str">
        <f>TRIM(K317)</f>
        <v>Sales</v>
      </c>
      <c r="M317" t="b">
        <f>K317&lt;&gt;L317</f>
        <v>0</v>
      </c>
      <c r="O317" t="b">
        <f>LEN(TRIM(N317))=0</f>
        <v>1</v>
      </c>
      <c r="P317" t="b">
        <f>AND(N317&gt;0, N317&lt;1000000)</f>
        <v>0</v>
      </c>
      <c r="Q317" t="s">
        <v>307</v>
      </c>
      <c r="R317" s="2" t="b">
        <f>LEN(TRIM(Q317))=0</f>
        <v>0</v>
      </c>
      <c r="S317" s="2" t="str">
        <f>IF(RIGHT(TRIM(Q317),9)="gmail.com","OK","Typo")</f>
        <v>OK</v>
      </c>
      <c r="T317" s="2" t="str">
        <f>A317&amp;D317&amp;G317&amp;I317&amp;K317&amp;N317&amp;Q317</f>
        <v>SaraFemaleKarachiSalessara41@gmail.com</v>
      </c>
      <c r="U317" s="2" t="b">
        <f>COUNTIF(T:T,T317)&gt;1</f>
        <v>0</v>
      </c>
    </row>
    <row r="318" spans="1:21">
      <c r="A318" t="s">
        <v>299</v>
      </c>
      <c r="B318" t="b">
        <f>LEN(TRIM(A318))=0</f>
        <v>0</v>
      </c>
      <c r="C318" t="b">
        <f>COUNTIF(A:A,A318)&gt;1</f>
        <v>1</v>
      </c>
      <c r="D318" t="s">
        <v>22</v>
      </c>
      <c r="E318" t="b">
        <f>LEN(TRIM(D318))=0</f>
        <v>0</v>
      </c>
      <c r="F318" t="b">
        <f>EXACT(D318,PROPER(D318))</f>
        <v>1</v>
      </c>
      <c r="H318" t="b">
        <f>LEN(TRIM(G318))=0</f>
        <v>1</v>
      </c>
      <c r="I318" t="s">
        <v>32</v>
      </c>
      <c r="J318" t="b">
        <f>EXACT(I318,PROPER(I318))</f>
        <v>1</v>
      </c>
      <c r="K318" t="s">
        <v>24</v>
      </c>
      <c r="L318" t="str">
        <f>TRIM(K318)</f>
        <v>HR</v>
      </c>
      <c r="M318" t="b">
        <f>K318&lt;&gt;L318</f>
        <v>0</v>
      </c>
      <c r="O318" t="b">
        <f>LEN(TRIM(N318))=0</f>
        <v>1</v>
      </c>
      <c r="P318" t="b">
        <f>AND(N318&gt;0, N318&lt;1000000)</f>
        <v>0</v>
      </c>
      <c r="Q318" t="s">
        <v>308</v>
      </c>
      <c r="R318" s="2" t="b">
        <f>LEN(TRIM(Q318))=0</f>
        <v>0</v>
      </c>
      <c r="S318" s="2" t="str">
        <f>IF(RIGHT(TRIM(Q318),9)="gmail.com","OK","Typo")</f>
        <v>OK</v>
      </c>
      <c r="T318" s="2" t="str">
        <f>A318&amp;D318&amp;G318&amp;I318&amp;K318&amp;N318&amp;Q318</f>
        <v>SaraMaleLahoreHRsara43@gmail.com</v>
      </c>
      <c r="U318" s="2" t="b">
        <f>COUNTIF(T:T,T318)&gt;1</f>
        <v>0</v>
      </c>
    </row>
    <row r="319" spans="1:21">
      <c r="A319" t="s">
        <v>299</v>
      </c>
      <c r="B319" t="b">
        <f>LEN(TRIM(A319))=0</f>
        <v>0</v>
      </c>
      <c r="C319" t="b">
        <f>COUNTIF(A:A,A319)&gt;1</f>
        <v>1</v>
      </c>
      <c r="D319" t="s">
        <v>22</v>
      </c>
      <c r="E319" t="b">
        <f>LEN(TRIM(D319))=0</f>
        <v>0</v>
      </c>
      <c r="F319" t="b">
        <f>EXACT(D319,PROPER(D319))</f>
        <v>1</v>
      </c>
      <c r="H319" t="b">
        <f>LEN(TRIM(G319))=0</f>
        <v>1</v>
      </c>
      <c r="I319" t="s">
        <v>45</v>
      </c>
      <c r="J319" t="b">
        <f>EXACT(I319,PROPER(I319))</f>
        <v>1</v>
      </c>
      <c r="K319" t="s">
        <v>42</v>
      </c>
      <c r="L319" t="str">
        <f>TRIM(K319)</f>
        <v>IT</v>
      </c>
      <c r="M319" t="b">
        <f>K319&lt;&gt;L319</f>
        <v>0</v>
      </c>
      <c r="O319" t="b">
        <f>LEN(TRIM(N319))=0</f>
        <v>1</v>
      </c>
      <c r="P319" t="b">
        <f>AND(N319&gt;0, N319&lt;1000000)</f>
        <v>0</v>
      </c>
      <c r="Q319" t="s">
        <v>308</v>
      </c>
      <c r="R319" s="2" t="b">
        <f>LEN(TRIM(Q319))=0</f>
        <v>0</v>
      </c>
      <c r="S319" s="2" t="str">
        <f>IF(RIGHT(TRIM(Q319),9)="gmail.com","OK","Typo")</f>
        <v>OK</v>
      </c>
      <c r="T319" s="2" t="str">
        <f>A319&amp;D319&amp;G319&amp;I319&amp;K319&amp;N319&amp;Q319</f>
        <v>SaraMalePeshawarITsara43@gmail.com</v>
      </c>
      <c r="U319" s="2" t="b">
        <f>COUNTIF(T:T,T319)&gt;1</f>
        <v>0</v>
      </c>
    </row>
    <row r="320" spans="1:21">
      <c r="A320" t="s">
        <v>299</v>
      </c>
      <c r="B320" t="b">
        <f>LEN(TRIM(A320))=0</f>
        <v>0</v>
      </c>
      <c r="C320" t="b">
        <f>COUNTIF(A:A,A320)&gt;1</f>
        <v>1</v>
      </c>
      <c r="D320" t="s">
        <v>22</v>
      </c>
      <c r="E320" t="b">
        <f>LEN(TRIM(D320))=0</f>
        <v>0</v>
      </c>
      <c r="F320" t="b">
        <f>EXACT(D320,PROPER(D320))</f>
        <v>1</v>
      </c>
      <c r="G320">
        <v>25</v>
      </c>
      <c r="H320" t="b">
        <f>LEN(TRIM(G320))=0</f>
        <v>0</v>
      </c>
      <c r="I320" t="s">
        <v>37</v>
      </c>
      <c r="J320" t="b">
        <f>EXACT(I320,PROPER(I320))</f>
        <v>1</v>
      </c>
      <c r="K320" t="s">
        <v>42</v>
      </c>
      <c r="L320" t="str">
        <f>TRIM(K320)</f>
        <v>IT</v>
      </c>
      <c r="M320" t="b">
        <f>K320&lt;&gt;L320</f>
        <v>0</v>
      </c>
      <c r="O320" t="b">
        <f>LEN(TRIM(N320))=0</f>
        <v>1</v>
      </c>
      <c r="P320" t="b">
        <f>AND(N320&gt;0, N320&lt;1000000)</f>
        <v>0</v>
      </c>
      <c r="Q320" t="s">
        <v>309</v>
      </c>
      <c r="R320" s="2" t="b">
        <f>LEN(TRIM(Q320))=0</f>
        <v>0</v>
      </c>
      <c r="S320" s="2" t="str">
        <f>IF(RIGHT(TRIM(Q320),9)="gmail.com","OK","Typo")</f>
        <v>OK</v>
      </c>
      <c r="T320" s="2" t="str">
        <f>A320&amp;D320&amp;G320&amp;I320&amp;K320&amp;N320&amp;Q320</f>
        <v>SaraMale25IslamabadITsara44@gmail.com</v>
      </c>
      <c r="U320" s="2" t="b">
        <f>COUNTIF(T:T,T320)&gt;1</f>
        <v>0</v>
      </c>
    </row>
    <row r="321" spans="1:21">
      <c r="A321" t="s">
        <v>299</v>
      </c>
      <c r="B321" t="b">
        <f>LEN(TRIM(A321))=0</f>
        <v>0</v>
      </c>
      <c r="C321" t="b">
        <f>COUNTIF(A:A,A321)&gt;1</f>
        <v>1</v>
      </c>
      <c r="D321" t="s">
        <v>30</v>
      </c>
      <c r="E321" t="b">
        <f>LEN(TRIM(D321))=0</f>
        <v>0</v>
      </c>
      <c r="F321" t="b">
        <f>EXACT(D321,PROPER(D321))</f>
        <v>1</v>
      </c>
      <c r="H321" t="b">
        <f>LEN(TRIM(G321))=0</f>
        <v>1</v>
      </c>
      <c r="I321" t="s">
        <v>66</v>
      </c>
      <c r="J321" t="b">
        <f>EXACT(I321,PROPER(I321))</f>
        <v>0</v>
      </c>
      <c r="K321" t="s">
        <v>38</v>
      </c>
      <c r="L321" t="str">
        <f>TRIM(K321)</f>
        <v>Sales</v>
      </c>
      <c r="M321" t="b">
        <f>K321&lt;&gt;L321</f>
        <v>0</v>
      </c>
      <c r="O321" t="b">
        <f>LEN(TRIM(N321))=0</f>
        <v>1</v>
      </c>
      <c r="P321" t="b">
        <f>AND(N321&gt;0, N321&lt;1000000)</f>
        <v>0</v>
      </c>
      <c r="Q321" t="s">
        <v>309</v>
      </c>
      <c r="R321" s="2" t="b">
        <f>LEN(TRIM(Q321))=0</f>
        <v>0</v>
      </c>
      <c r="S321" s="2" t="str">
        <f>IF(RIGHT(TRIM(Q321),9)="gmail.com","OK","Typo")</f>
        <v>OK</v>
      </c>
      <c r="T321" s="2" t="str">
        <f>A321&amp;D321&amp;G321&amp;I321&amp;K321&amp;N321&amp;Q321</f>
        <v>SaraFemalekarachiSalessara44@gmail.com</v>
      </c>
      <c r="U321" s="2" t="b">
        <f>COUNTIF(T:T,T321)&gt;1</f>
        <v>0</v>
      </c>
    </row>
    <row r="322" spans="1:21">
      <c r="A322" t="s">
        <v>299</v>
      </c>
      <c r="B322" t="b">
        <f>LEN(TRIM(A322))=0</f>
        <v>0</v>
      </c>
      <c r="C322" t="b">
        <f>COUNTIF(A:A,A322)&gt;1</f>
        <v>1</v>
      </c>
      <c r="D322" t="s">
        <v>30</v>
      </c>
      <c r="E322" t="b">
        <f>LEN(TRIM(D322))=0</f>
        <v>0</v>
      </c>
      <c r="F322" t="b">
        <f>EXACT(D322,PROPER(D322))</f>
        <v>1</v>
      </c>
      <c r="H322" t="b">
        <f>LEN(TRIM(G322))=0</f>
        <v>1</v>
      </c>
      <c r="I322" t="s">
        <v>45</v>
      </c>
      <c r="J322" t="b">
        <f>EXACT(I322,PROPER(I322))</f>
        <v>1</v>
      </c>
      <c r="K322" t="s">
        <v>35</v>
      </c>
      <c r="L322" t="str">
        <f>TRIM(K322)</f>
        <v>Marketing</v>
      </c>
      <c r="M322" t="b">
        <f>K322&lt;&gt;L322</f>
        <v>0</v>
      </c>
      <c r="N322">
        <v>43742.2</v>
      </c>
      <c r="O322" t="b">
        <f>LEN(TRIM(N322))=0</f>
        <v>0</v>
      </c>
      <c r="P322" t="b">
        <f>AND(N322&gt;0, N322&lt;1000000)</f>
        <v>1</v>
      </c>
      <c r="Q322" t="s">
        <v>310</v>
      </c>
      <c r="R322" s="2" t="b">
        <f>LEN(TRIM(Q322))=0</f>
        <v>0</v>
      </c>
      <c r="S322" s="2" t="str">
        <f>IF(RIGHT(TRIM(Q322),9)="gmail.com","OK","Typo")</f>
        <v>OK</v>
      </c>
      <c r="T322" s="2" t="str">
        <f>A322&amp;D322&amp;G322&amp;I322&amp;K322&amp;N322&amp;Q322</f>
        <v>SaraFemalePeshawarMarketing43742.2sara46@gmail.com</v>
      </c>
      <c r="U322" s="2" t="b">
        <f>COUNTIF(T:T,T322)&gt;1</f>
        <v>0</v>
      </c>
    </row>
    <row r="323" spans="1:21">
      <c r="A323" t="s">
        <v>299</v>
      </c>
      <c r="B323" t="b">
        <f>LEN(TRIM(A323))=0</f>
        <v>0</v>
      </c>
      <c r="C323" t="b">
        <f>COUNTIF(A:A,A323)&gt;1</f>
        <v>1</v>
      </c>
      <c r="D323" t="s">
        <v>22</v>
      </c>
      <c r="E323" t="b">
        <f>LEN(TRIM(D323))=0</f>
        <v>0</v>
      </c>
      <c r="F323" t="b">
        <f>EXACT(D323,PROPER(D323))</f>
        <v>1</v>
      </c>
      <c r="H323" t="b">
        <f>LEN(TRIM(G323))=0</f>
        <v>1</v>
      </c>
      <c r="I323" t="s">
        <v>45</v>
      </c>
      <c r="J323" t="b">
        <f>EXACT(I323,PROPER(I323))</f>
        <v>1</v>
      </c>
      <c r="K323" t="s">
        <v>38</v>
      </c>
      <c r="L323" t="str">
        <f>TRIM(K323)</f>
        <v>Sales</v>
      </c>
      <c r="M323" t="b">
        <f>K323&lt;&gt;L323</f>
        <v>0</v>
      </c>
      <c r="N323">
        <v>148224.89000000001</v>
      </c>
      <c r="O323" t="b">
        <f>LEN(TRIM(N323))=0</f>
        <v>0</v>
      </c>
      <c r="P323" t="b">
        <f>AND(N323&gt;0, N323&lt;1000000)</f>
        <v>1</v>
      </c>
      <c r="Q323" t="s">
        <v>311</v>
      </c>
      <c r="R323" s="2" t="b">
        <f>LEN(TRIM(Q323))=0</f>
        <v>0</v>
      </c>
      <c r="S323" s="2" t="str">
        <f>IF(RIGHT(TRIM(Q323),9)="gmail.com","OK","Typo")</f>
        <v>OK</v>
      </c>
      <c r="T323" s="2" t="str">
        <f>A323&amp;D323&amp;G323&amp;I323&amp;K323&amp;N323&amp;Q323</f>
        <v>SaraMalePeshawarSales148224.89sara48@gmail.com</v>
      </c>
      <c r="U323" s="2" t="b">
        <f>COUNTIF(T:T,T323)&gt;1</f>
        <v>0</v>
      </c>
    </row>
    <row r="324" spans="1:21">
      <c r="A324" t="s">
        <v>299</v>
      </c>
      <c r="B324" t="b">
        <f>LEN(TRIM(A324))=0</f>
        <v>0</v>
      </c>
      <c r="C324" t="b">
        <f>COUNTIF(A:A,A324)&gt;1</f>
        <v>1</v>
      </c>
      <c r="D324" t="s">
        <v>30</v>
      </c>
      <c r="E324" t="b">
        <f>LEN(TRIM(D324))=0</f>
        <v>0</v>
      </c>
      <c r="F324" t="b">
        <f>EXACT(D324,PROPER(D324))</f>
        <v>1</v>
      </c>
      <c r="G324">
        <v>45</v>
      </c>
      <c r="H324" t="b">
        <f>LEN(TRIM(G324))=0</f>
        <v>0</v>
      </c>
      <c r="I324" t="s">
        <v>45</v>
      </c>
      <c r="J324" t="b">
        <f>EXACT(I324,PROPER(I324))</f>
        <v>1</v>
      </c>
      <c r="K324" t="s">
        <v>35</v>
      </c>
      <c r="L324" t="str">
        <f>TRIM(K324)</f>
        <v>Marketing</v>
      </c>
      <c r="M324" t="b">
        <f>K324&lt;&gt;L324</f>
        <v>0</v>
      </c>
      <c r="O324" t="b">
        <f>LEN(TRIM(N324))=0</f>
        <v>1</v>
      </c>
      <c r="P324" t="b">
        <f>AND(N324&gt;0, N324&lt;1000000)</f>
        <v>0</v>
      </c>
      <c r="Q324" t="s">
        <v>312</v>
      </c>
      <c r="R324" s="2" t="b">
        <f>LEN(TRIM(Q324))=0</f>
        <v>0</v>
      </c>
      <c r="S324" s="2" t="str">
        <f>IF(RIGHT(TRIM(Q324),9)="gmail.com","OK","Typo")</f>
        <v>OK</v>
      </c>
      <c r="T324" s="2" t="str">
        <f>A324&amp;D324&amp;G324&amp;I324&amp;K324&amp;N324&amp;Q324</f>
        <v>SaraFemale45PeshawarMarketingsara51@gmail.com</v>
      </c>
      <c r="U324" s="2" t="b">
        <f>COUNTIF(T:T,T324)&gt;1</f>
        <v>0</v>
      </c>
    </row>
    <row r="325" spans="1:21">
      <c r="A325" t="s">
        <v>299</v>
      </c>
      <c r="B325" t="b">
        <f>LEN(TRIM(A325))=0</f>
        <v>0</v>
      </c>
      <c r="C325" t="b">
        <f>COUNTIF(A:A,A325)&gt;1</f>
        <v>1</v>
      </c>
      <c r="D325" t="s">
        <v>30</v>
      </c>
      <c r="E325" t="b">
        <f>LEN(TRIM(D325))=0</f>
        <v>0</v>
      </c>
      <c r="F325" t="b">
        <f>EXACT(D325,PROPER(D325))</f>
        <v>1</v>
      </c>
      <c r="H325" t="b">
        <f>LEN(TRIM(G325))=0</f>
        <v>1</v>
      </c>
      <c r="I325" t="s">
        <v>28</v>
      </c>
      <c r="J325" t="b">
        <f>EXACT(I325,PROPER(I325))</f>
        <v>1</v>
      </c>
      <c r="K325" t="s">
        <v>38</v>
      </c>
      <c r="L325" t="str">
        <f>TRIM(K325)</f>
        <v>Sales</v>
      </c>
      <c r="M325" t="b">
        <f>K325&lt;&gt;L325</f>
        <v>0</v>
      </c>
      <c r="O325" t="b">
        <f>LEN(TRIM(N325))=0</f>
        <v>1</v>
      </c>
      <c r="P325" t="b">
        <f>AND(N325&gt;0, N325&lt;1000000)</f>
        <v>0</v>
      </c>
      <c r="Q325" t="s">
        <v>313</v>
      </c>
      <c r="R325" s="2" t="b">
        <f>LEN(TRIM(Q325))=0</f>
        <v>0</v>
      </c>
      <c r="S325" s="2" t="str">
        <f>IF(RIGHT(TRIM(Q325),9)="gmail.com","OK","Typo")</f>
        <v>OK</v>
      </c>
      <c r="T325" s="2" t="str">
        <f>A325&amp;D325&amp;G325&amp;I325&amp;K325&amp;N325&amp;Q325</f>
        <v>SaraFemaleKarachiSalessara53@gmail.com</v>
      </c>
      <c r="U325" s="2" t="b">
        <f>COUNTIF(T:T,T325)&gt;1</f>
        <v>0</v>
      </c>
    </row>
    <row r="326" spans="1:21">
      <c r="A326" t="s">
        <v>299</v>
      </c>
      <c r="B326" t="b">
        <f>LEN(TRIM(A326))=0</f>
        <v>0</v>
      </c>
      <c r="C326" t="b">
        <f>COUNTIF(A:A,A326)&gt;1</f>
        <v>1</v>
      </c>
      <c r="D326" t="s">
        <v>30</v>
      </c>
      <c r="E326" t="b">
        <f>LEN(TRIM(D326))=0</f>
        <v>0</v>
      </c>
      <c r="F326" t="b">
        <f>EXACT(D326,PROPER(D326))</f>
        <v>1</v>
      </c>
      <c r="H326" t="b">
        <f>LEN(TRIM(G326))=0</f>
        <v>1</v>
      </c>
      <c r="I326" t="s">
        <v>32</v>
      </c>
      <c r="J326" t="b">
        <f>EXACT(I326,PROPER(I326))</f>
        <v>1</v>
      </c>
      <c r="K326" t="s">
        <v>42</v>
      </c>
      <c r="L326" t="str">
        <f>TRIM(K326)</f>
        <v>IT</v>
      </c>
      <c r="M326" t="b">
        <f>K326&lt;&gt;L326</f>
        <v>0</v>
      </c>
      <c r="N326">
        <v>146381</v>
      </c>
      <c r="O326" t="b">
        <f>LEN(TRIM(N326))=0</f>
        <v>0</v>
      </c>
      <c r="P326" t="b">
        <f>AND(N326&gt;0, N326&lt;1000000)</f>
        <v>1</v>
      </c>
      <c r="Q326" t="s">
        <v>314</v>
      </c>
      <c r="R326" s="2" t="b">
        <f>LEN(TRIM(Q326))=0</f>
        <v>0</v>
      </c>
      <c r="S326" s="2" t="str">
        <f>IF(RIGHT(TRIM(Q326),9)="gmail.com","OK","Typo")</f>
        <v>OK</v>
      </c>
      <c r="T326" s="2" t="str">
        <f>A326&amp;D326&amp;G326&amp;I326&amp;K326&amp;N326&amp;Q326</f>
        <v>SaraFemaleLahoreIT146381sara54@gmail.com</v>
      </c>
      <c r="U326" s="2" t="b">
        <f>COUNTIF(T:T,T326)&gt;1</f>
        <v>0</v>
      </c>
    </row>
    <row r="327" spans="1:21">
      <c r="A327" t="s">
        <v>299</v>
      </c>
      <c r="B327" t="b">
        <f>LEN(TRIM(A327))=0</f>
        <v>0</v>
      </c>
      <c r="C327" t="b">
        <f>COUNTIF(A:A,A327)&gt;1</f>
        <v>1</v>
      </c>
      <c r="D327" t="s">
        <v>30</v>
      </c>
      <c r="E327" t="b">
        <f>LEN(TRIM(D327))=0</f>
        <v>0</v>
      </c>
      <c r="F327" t="b">
        <f>EXACT(D327,PROPER(D327))</f>
        <v>1</v>
      </c>
      <c r="G327">
        <v>43</v>
      </c>
      <c r="H327" t="b">
        <f>LEN(TRIM(G327))=0</f>
        <v>0</v>
      </c>
      <c r="I327" t="s">
        <v>32</v>
      </c>
      <c r="J327" t="b">
        <f>EXACT(I327,PROPER(I327))</f>
        <v>1</v>
      </c>
      <c r="K327" t="s">
        <v>24</v>
      </c>
      <c r="L327" t="str">
        <f>TRIM(K327)</f>
        <v>HR</v>
      </c>
      <c r="M327" t="b">
        <f>K327&lt;&gt;L327</f>
        <v>0</v>
      </c>
      <c r="O327" t="b">
        <f>LEN(TRIM(N327))=0</f>
        <v>1</v>
      </c>
      <c r="P327" t="b">
        <f>AND(N327&gt;0, N327&lt;1000000)</f>
        <v>0</v>
      </c>
      <c r="Q327" t="s">
        <v>314</v>
      </c>
      <c r="R327" s="2" t="b">
        <f>LEN(TRIM(Q327))=0</f>
        <v>0</v>
      </c>
      <c r="S327" s="2" t="str">
        <f>IF(RIGHT(TRIM(Q327),9)="gmail.com","OK","Typo")</f>
        <v>OK</v>
      </c>
      <c r="T327" s="2" t="str">
        <f>A327&amp;D327&amp;G327&amp;I327&amp;K327&amp;N327&amp;Q327</f>
        <v>SaraFemale43LahoreHRsara54@gmail.com</v>
      </c>
      <c r="U327" s="2" t="b">
        <f>COUNTIF(T:T,T327)&gt;1</f>
        <v>0</v>
      </c>
    </row>
    <row r="328" spans="1:21">
      <c r="A328" t="s">
        <v>299</v>
      </c>
      <c r="B328" t="b">
        <f>LEN(TRIM(A328))=0</f>
        <v>0</v>
      </c>
      <c r="C328" t="b">
        <f>COUNTIF(A:A,A328)&gt;1</f>
        <v>1</v>
      </c>
      <c r="D328" t="s">
        <v>22</v>
      </c>
      <c r="E328" t="b">
        <f>LEN(TRIM(D328))=0</f>
        <v>0</v>
      </c>
      <c r="F328" t="b">
        <f>EXACT(D328,PROPER(D328))</f>
        <v>1</v>
      </c>
      <c r="H328" t="b">
        <f>LEN(TRIM(G328))=0</f>
        <v>1</v>
      </c>
      <c r="I328" t="s">
        <v>28</v>
      </c>
      <c r="J328" t="b">
        <f>EXACT(I328,PROPER(I328))</f>
        <v>1</v>
      </c>
      <c r="K328" t="s">
        <v>42</v>
      </c>
      <c r="L328" t="str">
        <f>TRIM(K328)</f>
        <v>IT</v>
      </c>
      <c r="M328" t="b">
        <f>K328&lt;&gt;L328</f>
        <v>0</v>
      </c>
      <c r="N328">
        <v>61380.14</v>
      </c>
      <c r="O328" t="b">
        <f>LEN(TRIM(N328))=0</f>
        <v>0</v>
      </c>
      <c r="P328" t="b">
        <f>AND(N328&gt;0, N328&lt;1000000)</f>
        <v>1</v>
      </c>
      <c r="Q328" t="s">
        <v>315</v>
      </c>
      <c r="R328" s="2" t="b">
        <f>LEN(TRIM(Q328))=0</f>
        <v>0</v>
      </c>
      <c r="S328" s="2" t="str">
        <f>IF(RIGHT(TRIM(Q328),9)="gmail.com","OK","Typo")</f>
        <v>OK</v>
      </c>
      <c r="T328" s="2" t="str">
        <f>A328&amp;D328&amp;G328&amp;I328&amp;K328&amp;N328&amp;Q328</f>
        <v>SaraMaleKarachiIT61380.14sara56@gmail.com</v>
      </c>
      <c r="U328" s="2" t="b">
        <f>COUNTIF(T:T,T328)&gt;1</f>
        <v>0</v>
      </c>
    </row>
    <row r="329" spans="1:21">
      <c r="A329" t="s">
        <v>299</v>
      </c>
      <c r="B329" t="b">
        <f>LEN(TRIM(A329))=0</f>
        <v>0</v>
      </c>
      <c r="C329" t="b">
        <f>COUNTIF(A:A,A329)&gt;1</f>
        <v>1</v>
      </c>
      <c r="D329" t="s">
        <v>22</v>
      </c>
      <c r="E329" t="b">
        <f>LEN(TRIM(D329))=0</f>
        <v>0</v>
      </c>
      <c r="F329" t="b">
        <f>EXACT(D329,PROPER(D329))</f>
        <v>1</v>
      </c>
      <c r="H329" t="b">
        <f>LEN(TRIM(G329))=0</f>
        <v>1</v>
      </c>
      <c r="I329" t="s">
        <v>23</v>
      </c>
      <c r="J329" t="b">
        <f>EXACT(I329,PROPER(I329))</f>
        <v>1</v>
      </c>
      <c r="K329" t="s">
        <v>35</v>
      </c>
      <c r="L329" t="str">
        <f>TRIM(K329)</f>
        <v>Marketing</v>
      </c>
      <c r="M329" t="b">
        <f>K329&lt;&gt;L329</f>
        <v>0</v>
      </c>
      <c r="N329">
        <v>63665.5</v>
      </c>
      <c r="O329" t="b">
        <f>LEN(TRIM(N329))=0</f>
        <v>0</v>
      </c>
      <c r="P329" t="b">
        <f>AND(N329&gt;0, N329&lt;1000000)</f>
        <v>1</v>
      </c>
      <c r="Q329" t="s">
        <v>316</v>
      </c>
      <c r="R329" s="2" t="b">
        <f>LEN(TRIM(Q329))=0</f>
        <v>0</v>
      </c>
      <c r="S329" s="2" t="str">
        <f>IF(RIGHT(TRIM(Q329),9)="gmail.com","OK","Typo")</f>
        <v>OK</v>
      </c>
      <c r="T329" s="2" t="str">
        <f>A329&amp;D329&amp;G329&amp;I329&amp;K329&amp;N329&amp;Q329</f>
        <v>SaraMaleQuettaMarketing63665.5sara59@gmail.com</v>
      </c>
      <c r="U329" s="2" t="b">
        <f>COUNTIF(T:T,T329)&gt;1</f>
        <v>0</v>
      </c>
    </row>
    <row r="330" spans="1:21">
      <c r="A330" t="s">
        <v>299</v>
      </c>
      <c r="B330" t="b">
        <f>LEN(TRIM(A330))=0</f>
        <v>0</v>
      </c>
      <c r="C330" t="b">
        <f>COUNTIF(A:A,A330)&gt;1</f>
        <v>1</v>
      </c>
      <c r="D330" t="s">
        <v>22</v>
      </c>
      <c r="E330" t="b">
        <f>LEN(TRIM(D330))=0</f>
        <v>0</v>
      </c>
      <c r="F330" t="b">
        <f>EXACT(D330,PROPER(D330))</f>
        <v>1</v>
      </c>
      <c r="G330">
        <v>50</v>
      </c>
      <c r="H330" t="b">
        <f>LEN(TRIM(G330))=0</f>
        <v>0</v>
      </c>
      <c r="I330" t="s">
        <v>23</v>
      </c>
      <c r="J330" t="b">
        <f>EXACT(I330,PROPER(I330))</f>
        <v>1</v>
      </c>
      <c r="K330" t="s">
        <v>24</v>
      </c>
      <c r="L330" t="str">
        <f>TRIM(K330)</f>
        <v>HR</v>
      </c>
      <c r="M330" t="b">
        <f>K330&lt;&gt;L330</f>
        <v>0</v>
      </c>
      <c r="O330" t="b">
        <f>LEN(TRIM(N330))=0</f>
        <v>1</v>
      </c>
      <c r="P330" t="b">
        <f>AND(N330&gt;0, N330&lt;1000000)</f>
        <v>0</v>
      </c>
      <c r="Q330" t="s">
        <v>317</v>
      </c>
      <c r="R330" s="2" t="b">
        <f>LEN(TRIM(Q330))=0</f>
        <v>0</v>
      </c>
      <c r="S330" s="2" t="str">
        <f>IF(RIGHT(TRIM(Q330),9)="gmail.com","OK","Typo")</f>
        <v>OK</v>
      </c>
      <c r="T330" s="2" t="str">
        <f>A330&amp;D330&amp;G330&amp;I330&amp;K330&amp;N330&amp;Q330</f>
        <v>SaraMale50QuettaHRsara6@gmail.com</v>
      </c>
      <c r="U330" s="2" t="b">
        <f>COUNTIF(T:T,T330)&gt;1</f>
        <v>0</v>
      </c>
    </row>
    <row r="331" spans="1:21">
      <c r="A331" t="s">
        <v>299</v>
      </c>
      <c r="B331" t="b">
        <f>LEN(TRIM(A331))=0</f>
        <v>0</v>
      </c>
      <c r="C331" t="b">
        <f>COUNTIF(A:A,A331)&gt;1</f>
        <v>1</v>
      </c>
      <c r="D331" t="s">
        <v>22</v>
      </c>
      <c r="E331" t="b">
        <f>LEN(TRIM(D331))=0</f>
        <v>0</v>
      </c>
      <c r="F331" t="b">
        <f>EXACT(D331,PROPER(D331))</f>
        <v>1</v>
      </c>
      <c r="H331" t="b">
        <f>LEN(TRIM(G331))=0</f>
        <v>1</v>
      </c>
      <c r="I331" t="s">
        <v>23</v>
      </c>
      <c r="J331" t="b">
        <f>EXACT(I331,PROPER(I331))</f>
        <v>1</v>
      </c>
      <c r="K331" t="s">
        <v>29</v>
      </c>
      <c r="L331" t="str">
        <f>TRIM(K331)</f>
        <v>Finance</v>
      </c>
      <c r="M331" t="b">
        <f>K331&lt;&gt;L331</f>
        <v>0</v>
      </c>
      <c r="N331">
        <v>38112.699999999997</v>
      </c>
      <c r="O331" t="b">
        <f>LEN(TRIM(N331))=0</f>
        <v>0</v>
      </c>
      <c r="P331" t="b">
        <f>AND(N331&gt;0, N331&lt;1000000)</f>
        <v>1</v>
      </c>
      <c r="Q331" t="s">
        <v>318</v>
      </c>
      <c r="R331" s="2" t="b">
        <f>LEN(TRIM(Q331))=0</f>
        <v>0</v>
      </c>
      <c r="S331" s="2" t="str">
        <f>IF(RIGHT(TRIM(Q331),9)="gmail.com","OK","Typo")</f>
        <v>OK</v>
      </c>
      <c r="T331" s="2" t="str">
        <f>A331&amp;D331&amp;G331&amp;I331&amp;K331&amp;N331&amp;Q331</f>
        <v>SaraMaleQuettaFinance38112.7sara60@gmail.com</v>
      </c>
      <c r="U331" s="2" t="b">
        <f>COUNTIF(T:T,T331)&gt;1</f>
        <v>0</v>
      </c>
    </row>
    <row r="332" spans="1:21">
      <c r="A332" t="s">
        <v>299</v>
      </c>
      <c r="B332" t="b">
        <f>LEN(TRIM(A332))=0</f>
        <v>0</v>
      </c>
      <c r="C332" t="b">
        <f>COUNTIF(A:A,A332)&gt;1</f>
        <v>1</v>
      </c>
      <c r="D332" t="s">
        <v>22</v>
      </c>
      <c r="E332" t="b">
        <f>LEN(TRIM(D332))=0</f>
        <v>0</v>
      </c>
      <c r="F332" t="b">
        <f>EXACT(D332,PROPER(D332))</f>
        <v>1</v>
      </c>
      <c r="G332">
        <v>25</v>
      </c>
      <c r="H332" t="b">
        <f>LEN(TRIM(G332))=0</f>
        <v>0</v>
      </c>
      <c r="I332" t="s">
        <v>23</v>
      </c>
      <c r="J332" t="b">
        <f>EXACT(I332,PROPER(I332))</f>
        <v>1</v>
      </c>
      <c r="K332" t="s">
        <v>29</v>
      </c>
      <c r="L332" t="str">
        <f>TRIM(K332)</f>
        <v>Finance</v>
      </c>
      <c r="M332" t="b">
        <f>K332&lt;&gt;L332</f>
        <v>0</v>
      </c>
      <c r="O332" t="b">
        <f>LEN(TRIM(N332))=0</f>
        <v>1</v>
      </c>
      <c r="P332" t="b">
        <f>AND(N332&gt;0, N332&lt;1000000)</f>
        <v>0</v>
      </c>
      <c r="Q332" t="s">
        <v>318</v>
      </c>
      <c r="R332" s="2" t="b">
        <f>LEN(TRIM(Q332))=0</f>
        <v>0</v>
      </c>
      <c r="S332" s="2" t="str">
        <f>IF(RIGHT(TRIM(Q332),9)="gmail.com","OK","Typo")</f>
        <v>OK</v>
      </c>
      <c r="T332" s="2" t="str">
        <f>A332&amp;D332&amp;G332&amp;I332&amp;K332&amp;N332&amp;Q332</f>
        <v>SaraMale25QuettaFinancesara60@gmail.com</v>
      </c>
      <c r="U332" s="2" t="b">
        <f>COUNTIF(T:T,T332)&gt;1</f>
        <v>0</v>
      </c>
    </row>
    <row r="333" spans="1:21">
      <c r="A333" t="s">
        <v>299</v>
      </c>
      <c r="B333" t="b">
        <f>LEN(TRIM(A333))=0</f>
        <v>0</v>
      </c>
      <c r="C333" t="b">
        <f>COUNTIF(A:A,A333)&gt;1</f>
        <v>1</v>
      </c>
      <c r="D333" t="s">
        <v>22</v>
      </c>
      <c r="E333" t="b">
        <f>LEN(TRIM(D333))=0</f>
        <v>0</v>
      </c>
      <c r="F333" t="b">
        <f>EXACT(D333,PROPER(D333))</f>
        <v>1</v>
      </c>
      <c r="H333" t="b">
        <f>LEN(TRIM(G333))=0</f>
        <v>1</v>
      </c>
      <c r="I333" t="s">
        <v>45</v>
      </c>
      <c r="J333" t="b">
        <f>EXACT(I333,PROPER(I333))</f>
        <v>1</v>
      </c>
      <c r="K333" t="s">
        <v>47</v>
      </c>
      <c r="L333" t="str">
        <f>TRIM(K333)</f>
        <v>Sales</v>
      </c>
      <c r="M333" t="b">
        <f>K333&lt;&gt;L333</f>
        <v>1</v>
      </c>
      <c r="N333">
        <v>88258.99</v>
      </c>
      <c r="O333" t="b">
        <f>LEN(TRIM(N333))=0</f>
        <v>0</v>
      </c>
      <c r="P333" t="b">
        <f>AND(N333&gt;0, N333&lt;1000000)</f>
        <v>1</v>
      </c>
      <c r="Q333" t="s">
        <v>319</v>
      </c>
      <c r="R333" s="2" t="b">
        <f>LEN(TRIM(Q333))=0</f>
        <v>0</v>
      </c>
      <c r="S333" s="2" t="str">
        <f>IF(RIGHT(TRIM(Q333),9)="gmail.com","OK","Typo")</f>
        <v>OK</v>
      </c>
      <c r="T333" s="2" t="str">
        <f>A333&amp;D333&amp;G333&amp;I333&amp;K333&amp;N333&amp;Q333</f>
        <v>SaraMalePeshawar Sales 88258.99sara61@gmail.com</v>
      </c>
      <c r="U333" s="2" t="b">
        <f>COUNTIF(T:T,T333)&gt;1</f>
        <v>0</v>
      </c>
    </row>
    <row r="334" spans="1:21">
      <c r="A334" t="s">
        <v>299</v>
      </c>
      <c r="B334" t="b">
        <f>LEN(TRIM(A334))=0</f>
        <v>0</v>
      </c>
      <c r="C334" t="b">
        <f>COUNTIF(A:A,A334)&gt;1</f>
        <v>1</v>
      </c>
      <c r="D334" t="s">
        <v>30</v>
      </c>
      <c r="E334" t="b">
        <f>LEN(TRIM(D334))=0</f>
        <v>0</v>
      </c>
      <c r="F334" t="b">
        <f>EXACT(D334,PROPER(D334))</f>
        <v>1</v>
      </c>
      <c r="H334" t="b">
        <f>LEN(TRIM(G334))=0</f>
        <v>1</v>
      </c>
      <c r="I334" t="s">
        <v>23</v>
      </c>
      <c r="J334" t="b">
        <f>EXACT(I334,PROPER(I334))</f>
        <v>1</v>
      </c>
      <c r="K334" t="s">
        <v>38</v>
      </c>
      <c r="L334" t="str">
        <f>TRIM(K334)</f>
        <v>Sales</v>
      </c>
      <c r="M334" t="b">
        <f>K334&lt;&gt;L334</f>
        <v>0</v>
      </c>
      <c r="N334">
        <v>50914.46</v>
      </c>
      <c r="O334" t="b">
        <f>LEN(TRIM(N334))=0</f>
        <v>0</v>
      </c>
      <c r="P334" t="b">
        <f>AND(N334&gt;0, N334&lt;1000000)</f>
        <v>1</v>
      </c>
      <c r="Q334" t="s">
        <v>320</v>
      </c>
      <c r="R334" s="2" t="b">
        <f>LEN(TRIM(Q334))=0</f>
        <v>0</v>
      </c>
      <c r="S334" s="2" t="str">
        <f>IF(RIGHT(TRIM(Q334),9)="gmail.com","OK","Typo")</f>
        <v>OK</v>
      </c>
      <c r="T334" s="2" t="str">
        <f>A334&amp;D334&amp;G334&amp;I334&amp;K334&amp;N334&amp;Q334</f>
        <v>SaraFemaleQuettaSales50914.46sara62@gmail.com</v>
      </c>
      <c r="U334" s="2" t="b">
        <f>COUNTIF(T:T,T334)&gt;1</f>
        <v>0</v>
      </c>
    </row>
    <row r="335" spans="1:21">
      <c r="A335" t="s">
        <v>299</v>
      </c>
      <c r="B335" t="b">
        <f>LEN(TRIM(A335))=0</f>
        <v>0</v>
      </c>
      <c r="C335" t="b">
        <f>COUNTIF(A:A,A335)&gt;1</f>
        <v>1</v>
      </c>
      <c r="D335" t="s">
        <v>22</v>
      </c>
      <c r="E335" t="b">
        <f>LEN(TRIM(D335))=0</f>
        <v>0</v>
      </c>
      <c r="F335" t="b">
        <f>EXACT(D335,PROPER(D335))</f>
        <v>1</v>
      </c>
      <c r="H335" t="b">
        <f>LEN(TRIM(G335))=0</f>
        <v>1</v>
      </c>
      <c r="I335" t="s">
        <v>23</v>
      </c>
      <c r="J335" t="b">
        <f>EXACT(I335,PROPER(I335))</f>
        <v>1</v>
      </c>
      <c r="K335" t="s">
        <v>35</v>
      </c>
      <c r="L335" t="str">
        <f>TRIM(K335)</f>
        <v>Marketing</v>
      </c>
      <c r="M335" t="b">
        <f>K335&lt;&gt;L335</f>
        <v>0</v>
      </c>
      <c r="N335">
        <v>105329.09</v>
      </c>
      <c r="O335" t="b">
        <f>LEN(TRIM(N335))=0</f>
        <v>0</v>
      </c>
      <c r="P335" t="b">
        <f>AND(N335&gt;0, N335&lt;1000000)</f>
        <v>1</v>
      </c>
      <c r="Q335" t="s">
        <v>321</v>
      </c>
      <c r="R335" s="2" t="b">
        <f>LEN(TRIM(Q335))=0</f>
        <v>0</v>
      </c>
      <c r="S335" s="2" t="str">
        <f>IF(RIGHT(TRIM(Q335),9)="gmail.com","OK","Typo")</f>
        <v>OK</v>
      </c>
      <c r="T335" s="2" t="str">
        <f>A335&amp;D335&amp;G335&amp;I335&amp;K335&amp;N335&amp;Q335</f>
        <v>SaraMaleQuettaMarketing105329.09sara63@gmail.com</v>
      </c>
      <c r="U335" s="2" t="b">
        <f>COUNTIF(T:T,T335)&gt;1</f>
        <v>0</v>
      </c>
    </row>
    <row r="336" spans="1:21">
      <c r="A336" t="s">
        <v>299</v>
      </c>
      <c r="B336" t="b">
        <f>LEN(TRIM(A336))=0</f>
        <v>0</v>
      </c>
      <c r="C336" t="b">
        <f>COUNTIF(A:A,A336)&gt;1</f>
        <v>1</v>
      </c>
      <c r="D336" t="s">
        <v>22</v>
      </c>
      <c r="E336" t="b">
        <f>LEN(TRIM(D336))=0</f>
        <v>0</v>
      </c>
      <c r="F336" t="b">
        <f>EXACT(D336,PROPER(D336))</f>
        <v>1</v>
      </c>
      <c r="G336">
        <v>44</v>
      </c>
      <c r="H336" t="b">
        <f>LEN(TRIM(G336))=0</f>
        <v>0</v>
      </c>
      <c r="I336" t="s">
        <v>45</v>
      </c>
      <c r="J336" t="b">
        <f>EXACT(I336,PROPER(I336))</f>
        <v>1</v>
      </c>
      <c r="K336" t="s">
        <v>42</v>
      </c>
      <c r="L336" t="str">
        <f>TRIM(K336)</f>
        <v>IT</v>
      </c>
      <c r="M336" t="b">
        <f>K336&lt;&gt;L336</f>
        <v>0</v>
      </c>
      <c r="N336">
        <v>31686.16</v>
      </c>
      <c r="O336" t="b">
        <f>LEN(TRIM(N336))=0</f>
        <v>0</v>
      </c>
      <c r="P336" t="b">
        <f>AND(N336&gt;0, N336&lt;1000000)</f>
        <v>1</v>
      </c>
      <c r="Q336" t="s">
        <v>322</v>
      </c>
      <c r="R336" s="2" t="b">
        <f>LEN(TRIM(Q336))=0</f>
        <v>0</v>
      </c>
      <c r="S336" s="2" t="str">
        <f>IF(RIGHT(TRIM(Q336),9)="gmail.com","OK","Typo")</f>
        <v>OK</v>
      </c>
      <c r="T336" s="2" t="str">
        <f>A336&amp;D336&amp;G336&amp;I336&amp;K336&amp;N336&amp;Q336</f>
        <v>SaraMale44PeshawarIT31686.16sara66@gmail.com</v>
      </c>
      <c r="U336" s="2" t="b">
        <f>COUNTIF(T:T,T336)&gt;1</f>
        <v>0</v>
      </c>
    </row>
    <row r="337" spans="1:21">
      <c r="A337" t="s">
        <v>299</v>
      </c>
      <c r="B337" t="b">
        <f>LEN(TRIM(A337))=0</f>
        <v>0</v>
      </c>
      <c r="C337" t="b">
        <f>COUNTIF(A:A,A337)&gt;1</f>
        <v>1</v>
      </c>
      <c r="D337" t="s">
        <v>30</v>
      </c>
      <c r="E337" t="b">
        <f>LEN(TRIM(D337))=0</f>
        <v>0</v>
      </c>
      <c r="F337" t="b">
        <f>EXACT(D337,PROPER(D337))</f>
        <v>1</v>
      </c>
      <c r="H337" t="b">
        <f>LEN(TRIM(G337))=0</f>
        <v>1</v>
      </c>
      <c r="I337" t="s">
        <v>23</v>
      </c>
      <c r="J337" t="b">
        <f>EXACT(I337,PROPER(I337))</f>
        <v>1</v>
      </c>
      <c r="K337" t="s">
        <v>42</v>
      </c>
      <c r="L337" t="str">
        <f>TRIM(K337)</f>
        <v>IT</v>
      </c>
      <c r="M337" t="b">
        <f>K337&lt;&gt;L337</f>
        <v>0</v>
      </c>
      <c r="N337">
        <v>123139.98</v>
      </c>
      <c r="O337" t="b">
        <f>LEN(TRIM(N337))=0</f>
        <v>0</v>
      </c>
      <c r="P337" t="b">
        <f>AND(N337&gt;0, N337&lt;1000000)</f>
        <v>1</v>
      </c>
      <c r="Q337" t="s">
        <v>323</v>
      </c>
      <c r="R337" s="2" t="b">
        <f>LEN(TRIM(Q337))=0</f>
        <v>0</v>
      </c>
      <c r="S337" s="2" t="str">
        <f>IF(RIGHT(TRIM(Q337),9)="gmail.com","OK","Typo")</f>
        <v>OK</v>
      </c>
      <c r="T337" s="2" t="str">
        <f>A337&amp;D337&amp;G337&amp;I337&amp;K337&amp;N337&amp;Q337</f>
        <v>SaraFemaleQuettaIT123139.98sara67@gmail.com</v>
      </c>
      <c r="U337" s="2" t="b">
        <f>COUNTIF(T:T,T337)&gt;1</f>
        <v>0</v>
      </c>
    </row>
    <row r="338" spans="1:21">
      <c r="A338" t="s">
        <v>299</v>
      </c>
      <c r="B338" t="b">
        <f>LEN(TRIM(A338))=0</f>
        <v>0</v>
      </c>
      <c r="C338" t="b">
        <f>COUNTIF(A:A,A338)&gt;1</f>
        <v>1</v>
      </c>
      <c r="D338" t="s">
        <v>22</v>
      </c>
      <c r="E338" t="b">
        <f>LEN(TRIM(D338))=0</f>
        <v>0</v>
      </c>
      <c r="F338" t="b">
        <f>EXACT(D338,PROPER(D338))</f>
        <v>1</v>
      </c>
      <c r="H338" t="b">
        <f>LEN(TRIM(G338))=0</f>
        <v>1</v>
      </c>
      <c r="I338" t="s">
        <v>23</v>
      </c>
      <c r="J338" t="b">
        <f>EXACT(I338,PROPER(I338))</f>
        <v>1</v>
      </c>
      <c r="K338" t="s">
        <v>38</v>
      </c>
      <c r="L338" t="str">
        <f>TRIM(K338)</f>
        <v>Sales</v>
      </c>
      <c r="M338" t="b">
        <f>K338&lt;&gt;L338</f>
        <v>0</v>
      </c>
      <c r="N338">
        <v>80838.95</v>
      </c>
      <c r="O338" t="b">
        <f>LEN(TRIM(N338))=0</f>
        <v>0</v>
      </c>
      <c r="P338" t="b">
        <f>AND(N338&gt;0, N338&lt;1000000)</f>
        <v>1</v>
      </c>
      <c r="Q338" t="s">
        <v>324</v>
      </c>
      <c r="R338" s="2" t="b">
        <f>LEN(TRIM(Q338))=0</f>
        <v>0</v>
      </c>
      <c r="S338" s="2" t="str">
        <f>IF(RIGHT(TRIM(Q338),9)="gmail.com","OK","Typo")</f>
        <v>OK</v>
      </c>
      <c r="T338" s="2" t="str">
        <f>A338&amp;D338&amp;G338&amp;I338&amp;K338&amp;N338&amp;Q338</f>
        <v>SaraMaleQuettaSales80838.95sara71@gmail.com</v>
      </c>
      <c r="U338" s="2" t="b">
        <f>COUNTIF(T:T,T338)&gt;1</f>
        <v>0</v>
      </c>
    </row>
    <row r="339" spans="1:21">
      <c r="A339" t="s">
        <v>299</v>
      </c>
      <c r="B339" t="b">
        <f>LEN(TRIM(A339))=0</f>
        <v>0</v>
      </c>
      <c r="C339" t="b">
        <f>COUNTIF(A:A,A339)&gt;1</f>
        <v>1</v>
      </c>
      <c r="D339" t="s">
        <v>30</v>
      </c>
      <c r="E339" t="b">
        <f>LEN(TRIM(D339))=0</f>
        <v>0</v>
      </c>
      <c r="F339" t="b">
        <f>EXACT(D339,PROPER(D339))</f>
        <v>1</v>
      </c>
      <c r="G339">
        <v>43</v>
      </c>
      <c r="H339" t="b">
        <f>LEN(TRIM(G339))=0</f>
        <v>0</v>
      </c>
      <c r="I339" t="s">
        <v>32</v>
      </c>
      <c r="J339" t="b">
        <f>EXACT(I339,PROPER(I339))</f>
        <v>1</v>
      </c>
      <c r="K339" t="s">
        <v>29</v>
      </c>
      <c r="L339" t="str">
        <f>TRIM(K339)</f>
        <v>Finance</v>
      </c>
      <c r="M339" t="b">
        <f>K339&lt;&gt;L339</f>
        <v>0</v>
      </c>
      <c r="N339">
        <v>83049.62</v>
      </c>
      <c r="O339" t="b">
        <f>LEN(TRIM(N339))=0</f>
        <v>0</v>
      </c>
      <c r="P339" t="b">
        <f>AND(N339&gt;0, N339&lt;1000000)</f>
        <v>1</v>
      </c>
      <c r="Q339" t="s">
        <v>325</v>
      </c>
      <c r="R339" s="2" t="b">
        <f>LEN(TRIM(Q339))=0</f>
        <v>0</v>
      </c>
      <c r="S339" s="2" t="str">
        <f>IF(RIGHT(TRIM(Q339),9)="gmail.com","OK","Typo")</f>
        <v>OK</v>
      </c>
      <c r="T339" s="2" t="str">
        <f>A339&amp;D339&amp;G339&amp;I339&amp;K339&amp;N339&amp;Q339</f>
        <v>SaraFemale43LahoreFinance83049.62sara72@gmail.com</v>
      </c>
      <c r="U339" s="2" t="b">
        <f>COUNTIF(T:T,T339)&gt;1</f>
        <v>0</v>
      </c>
    </row>
    <row r="340" spans="1:21">
      <c r="A340" t="s">
        <v>299</v>
      </c>
      <c r="B340" t="b">
        <f>LEN(TRIM(A340))=0</f>
        <v>0</v>
      </c>
      <c r="C340" t="b">
        <f>COUNTIF(A:A,A340)&gt;1</f>
        <v>1</v>
      </c>
      <c r="D340" t="s">
        <v>30</v>
      </c>
      <c r="E340" t="b">
        <f>LEN(TRIM(D340))=0</f>
        <v>0</v>
      </c>
      <c r="F340" t="b">
        <f>EXACT(D340,PROPER(D340))</f>
        <v>1</v>
      </c>
      <c r="H340" t="b">
        <f>LEN(TRIM(G340))=0</f>
        <v>1</v>
      </c>
      <c r="I340" t="s">
        <v>23</v>
      </c>
      <c r="J340" t="b">
        <f>EXACT(I340,PROPER(I340))</f>
        <v>1</v>
      </c>
      <c r="K340" t="s">
        <v>60</v>
      </c>
      <c r="L340" t="str">
        <f>TRIM(K340)</f>
        <v>Finance</v>
      </c>
      <c r="M340" t="b">
        <f>K340&lt;&gt;L340</f>
        <v>1</v>
      </c>
      <c r="O340" t="b">
        <f>LEN(TRIM(N340))=0</f>
        <v>1</v>
      </c>
      <c r="P340" t="b">
        <f>AND(N340&gt;0, N340&lt;1000000)</f>
        <v>0</v>
      </c>
      <c r="Q340" t="s">
        <v>326</v>
      </c>
      <c r="R340" s="2" t="b">
        <f>LEN(TRIM(Q340))=0</f>
        <v>0</v>
      </c>
      <c r="S340" s="2" t="str">
        <f>IF(RIGHT(TRIM(Q340),9)="gmail.com","OK","Typo")</f>
        <v>OK</v>
      </c>
      <c r="T340" s="2" t="str">
        <f>A340&amp;D340&amp;G340&amp;I340&amp;K340&amp;N340&amp;Q340</f>
        <v>SaraFemaleQuetta Finance sara73@gmail.com</v>
      </c>
      <c r="U340" s="2" t="b">
        <f>COUNTIF(T:T,T340)&gt;1</f>
        <v>0</v>
      </c>
    </row>
    <row r="341" spans="1:21">
      <c r="A341" t="s">
        <v>299</v>
      </c>
      <c r="B341" t="b">
        <f>LEN(TRIM(A341))=0</f>
        <v>0</v>
      </c>
      <c r="C341" t="b">
        <f>COUNTIF(A:A,A341)&gt;1</f>
        <v>1</v>
      </c>
      <c r="D341" t="s">
        <v>30</v>
      </c>
      <c r="E341" t="b">
        <f>LEN(TRIM(D341))=0</f>
        <v>0</v>
      </c>
      <c r="F341" t="b">
        <f>EXACT(D341,PROPER(D341))</f>
        <v>1</v>
      </c>
      <c r="H341" t="b">
        <f>LEN(TRIM(G341))=0</f>
        <v>1</v>
      </c>
      <c r="I341" t="s">
        <v>37</v>
      </c>
      <c r="J341" t="b">
        <f>EXACT(I341,PROPER(I341))</f>
        <v>1</v>
      </c>
      <c r="K341" t="s">
        <v>29</v>
      </c>
      <c r="L341" t="str">
        <f>TRIM(K341)</f>
        <v>Finance</v>
      </c>
      <c r="M341" t="b">
        <f>K341&lt;&gt;L341</f>
        <v>0</v>
      </c>
      <c r="N341">
        <v>127273.37</v>
      </c>
      <c r="O341" t="b">
        <f>LEN(TRIM(N341))=0</f>
        <v>0</v>
      </c>
      <c r="P341" t="b">
        <f>AND(N341&gt;0, N341&lt;1000000)</f>
        <v>1</v>
      </c>
      <c r="Q341" t="s">
        <v>326</v>
      </c>
      <c r="R341" s="2" t="b">
        <f>LEN(TRIM(Q341))=0</f>
        <v>0</v>
      </c>
      <c r="S341" s="2" t="str">
        <f>IF(RIGHT(TRIM(Q341),9)="gmail.com","OK","Typo")</f>
        <v>OK</v>
      </c>
      <c r="T341" s="2" t="str">
        <f>A341&amp;D341&amp;G341&amp;I341&amp;K341&amp;N341&amp;Q341</f>
        <v>SaraFemaleIslamabadFinance127273.37sara73@gmail.com</v>
      </c>
      <c r="U341" s="2" t="b">
        <f>COUNTIF(T:T,T341)&gt;1</f>
        <v>0</v>
      </c>
    </row>
    <row r="342" spans="1:21">
      <c r="A342" t="s">
        <v>299</v>
      </c>
      <c r="B342" t="b">
        <f>LEN(TRIM(A342))=0</f>
        <v>0</v>
      </c>
      <c r="C342" t="b">
        <f>COUNTIF(A:A,A342)&gt;1</f>
        <v>1</v>
      </c>
      <c r="D342" t="s">
        <v>22</v>
      </c>
      <c r="E342" t="b">
        <f>LEN(TRIM(D342))=0</f>
        <v>0</v>
      </c>
      <c r="F342" t="b">
        <f>EXACT(D342,PROPER(D342))</f>
        <v>1</v>
      </c>
      <c r="H342" t="b">
        <f>LEN(TRIM(G342))=0</f>
        <v>1</v>
      </c>
      <c r="I342" t="s">
        <v>45</v>
      </c>
      <c r="J342" t="b">
        <f>EXACT(I342,PROPER(I342))</f>
        <v>1</v>
      </c>
      <c r="K342" t="s">
        <v>35</v>
      </c>
      <c r="L342" t="str">
        <f>TRIM(K342)</f>
        <v>Marketing</v>
      </c>
      <c r="M342" t="b">
        <f>K342&lt;&gt;L342</f>
        <v>0</v>
      </c>
      <c r="N342">
        <v>139005.93</v>
      </c>
      <c r="O342" t="b">
        <f>LEN(TRIM(N342))=0</f>
        <v>0</v>
      </c>
      <c r="P342" t="b">
        <f>AND(N342&gt;0, N342&lt;1000000)</f>
        <v>1</v>
      </c>
      <c r="Q342" t="s">
        <v>327</v>
      </c>
      <c r="R342" s="2" t="b">
        <f>LEN(TRIM(Q342))=0</f>
        <v>0</v>
      </c>
      <c r="S342" s="2" t="str">
        <f>IF(RIGHT(TRIM(Q342),9)="gmail.com","OK","Typo")</f>
        <v>OK</v>
      </c>
      <c r="T342" s="2" t="str">
        <f>A342&amp;D342&amp;G342&amp;I342&amp;K342&amp;N342&amp;Q342</f>
        <v>SaraMalePeshawarMarketing139005.93sara75@gmail.com</v>
      </c>
      <c r="U342" s="2" t="b">
        <f>COUNTIF(T:T,T342)&gt;1</f>
        <v>0</v>
      </c>
    </row>
    <row r="343" spans="1:21">
      <c r="A343" t="s">
        <v>299</v>
      </c>
      <c r="B343" t="b">
        <f>LEN(TRIM(A343))=0</f>
        <v>0</v>
      </c>
      <c r="C343" t="b">
        <f>COUNTIF(A:A,A343)&gt;1</f>
        <v>1</v>
      </c>
      <c r="D343" t="s">
        <v>22</v>
      </c>
      <c r="E343" t="b">
        <f>LEN(TRIM(D343))=0</f>
        <v>0</v>
      </c>
      <c r="F343" t="b">
        <f>EXACT(D343,PROPER(D343))</f>
        <v>1</v>
      </c>
      <c r="G343">
        <v>42</v>
      </c>
      <c r="H343" t="b">
        <f>LEN(TRIM(G343))=0</f>
        <v>0</v>
      </c>
      <c r="I343" t="s">
        <v>23</v>
      </c>
      <c r="J343" t="b">
        <f>EXACT(I343,PROPER(I343))</f>
        <v>1</v>
      </c>
      <c r="K343" t="s">
        <v>29</v>
      </c>
      <c r="L343" t="str">
        <f>TRIM(K343)</f>
        <v>Finance</v>
      </c>
      <c r="M343" t="b">
        <f>K343&lt;&gt;L343</f>
        <v>0</v>
      </c>
      <c r="O343" t="b">
        <f>LEN(TRIM(N343))=0</f>
        <v>1</v>
      </c>
      <c r="P343" t="b">
        <f>AND(N343&gt;0, N343&lt;1000000)</f>
        <v>0</v>
      </c>
      <c r="Q343" t="s">
        <v>327</v>
      </c>
      <c r="R343" s="2" t="b">
        <f>LEN(TRIM(Q343))=0</f>
        <v>0</v>
      </c>
      <c r="S343" s="2" t="str">
        <f>IF(RIGHT(TRIM(Q343),9)="gmail.com","OK","Typo")</f>
        <v>OK</v>
      </c>
      <c r="T343" s="2" t="str">
        <f>A343&amp;D343&amp;G343&amp;I343&amp;K343&amp;N343&amp;Q343</f>
        <v>SaraMale42QuettaFinancesara75@gmail.com</v>
      </c>
      <c r="U343" s="2" t="b">
        <f>COUNTIF(T:T,T343)&gt;1</f>
        <v>0</v>
      </c>
    </row>
    <row r="344" spans="1:21">
      <c r="A344" t="s">
        <v>299</v>
      </c>
      <c r="B344" t="b">
        <f>LEN(TRIM(A344))=0</f>
        <v>0</v>
      </c>
      <c r="C344" t="b">
        <f>COUNTIF(A:A,A344)&gt;1</f>
        <v>1</v>
      </c>
      <c r="D344" t="s">
        <v>30</v>
      </c>
      <c r="E344" t="b">
        <f>LEN(TRIM(D344))=0</f>
        <v>0</v>
      </c>
      <c r="F344" t="b">
        <f>EXACT(D344,PROPER(D344))</f>
        <v>1</v>
      </c>
      <c r="H344" t="b">
        <f>LEN(TRIM(G344))=0</f>
        <v>1</v>
      </c>
      <c r="I344" t="s">
        <v>37</v>
      </c>
      <c r="J344" t="b">
        <f>EXACT(I344,PROPER(I344))</f>
        <v>1</v>
      </c>
      <c r="K344" t="s">
        <v>24</v>
      </c>
      <c r="L344" t="str">
        <f>TRIM(K344)</f>
        <v>HR</v>
      </c>
      <c r="M344" t="b">
        <f>K344&lt;&gt;L344</f>
        <v>0</v>
      </c>
      <c r="N344">
        <v>87646.42</v>
      </c>
      <c r="O344" t="b">
        <f>LEN(TRIM(N344))=0</f>
        <v>0</v>
      </c>
      <c r="P344" t="b">
        <f>AND(N344&gt;0, N344&lt;1000000)</f>
        <v>1</v>
      </c>
      <c r="Q344" t="s">
        <v>328</v>
      </c>
      <c r="R344" s="2" t="b">
        <f>LEN(TRIM(Q344))=0</f>
        <v>0</v>
      </c>
      <c r="S344" s="2" t="str">
        <f>IF(RIGHT(TRIM(Q344),9)="gmail.com","OK","Typo")</f>
        <v>OK</v>
      </c>
      <c r="T344" s="2" t="str">
        <f>A344&amp;D344&amp;G344&amp;I344&amp;K344&amp;N344&amp;Q344</f>
        <v>SaraFemaleIslamabadHR87646.42sara76@gmail.com</v>
      </c>
      <c r="U344" s="2" t="b">
        <f>COUNTIF(T:T,T344)&gt;1</f>
        <v>0</v>
      </c>
    </row>
    <row r="345" spans="1:21">
      <c r="A345" t="s">
        <v>299</v>
      </c>
      <c r="B345" t="b">
        <f>LEN(TRIM(A345))=0</f>
        <v>0</v>
      </c>
      <c r="C345" t="b">
        <f>COUNTIF(A:A,A345)&gt;1</f>
        <v>1</v>
      </c>
      <c r="D345" t="s">
        <v>22</v>
      </c>
      <c r="E345" t="b">
        <f>LEN(TRIM(D345))=0</f>
        <v>0</v>
      </c>
      <c r="F345" t="b">
        <f>EXACT(D345,PROPER(D345))</f>
        <v>1</v>
      </c>
      <c r="G345">
        <v>49</v>
      </c>
      <c r="H345" t="b">
        <f>LEN(TRIM(G345))=0</f>
        <v>0</v>
      </c>
      <c r="I345" t="s">
        <v>32</v>
      </c>
      <c r="J345" t="b">
        <f>EXACT(I345,PROPER(I345))</f>
        <v>1</v>
      </c>
      <c r="K345" t="s">
        <v>29</v>
      </c>
      <c r="L345" t="str">
        <f>TRIM(K345)</f>
        <v>Finance</v>
      </c>
      <c r="M345" t="b">
        <f>K345&lt;&gt;L345</f>
        <v>0</v>
      </c>
      <c r="N345">
        <v>147949.60999999999</v>
      </c>
      <c r="O345" t="b">
        <f>LEN(TRIM(N345))=0</f>
        <v>0</v>
      </c>
      <c r="P345" t="b">
        <f>AND(N345&gt;0, N345&lt;1000000)</f>
        <v>1</v>
      </c>
      <c r="Q345" t="s">
        <v>329</v>
      </c>
      <c r="R345" s="2" t="b">
        <f>LEN(TRIM(Q345))=0</f>
        <v>0</v>
      </c>
      <c r="S345" s="2" t="str">
        <f>IF(RIGHT(TRIM(Q345),9)="gmail.com","OK","Typo")</f>
        <v>Typo</v>
      </c>
      <c r="T345" s="2" t="str">
        <f>A345&amp;D345&amp;G345&amp;I345&amp;K345&amp;N345&amp;Q345</f>
        <v>SaraMale49LahoreFinance147949.61sara78@gamil.com</v>
      </c>
      <c r="U345" s="2" t="b">
        <f>COUNTIF(T:T,T345)&gt;1</f>
        <v>0</v>
      </c>
    </row>
    <row r="346" spans="1:21">
      <c r="A346" t="s">
        <v>299</v>
      </c>
      <c r="B346" t="b">
        <f>LEN(TRIM(A346))=0</f>
        <v>0</v>
      </c>
      <c r="C346" t="b">
        <f>COUNTIF(A:A,A346)&gt;1</f>
        <v>1</v>
      </c>
      <c r="D346" t="s">
        <v>30</v>
      </c>
      <c r="E346" t="b">
        <f>LEN(TRIM(D346))=0</f>
        <v>0</v>
      </c>
      <c r="F346" t="b">
        <f>EXACT(D346,PROPER(D346))</f>
        <v>1</v>
      </c>
      <c r="H346" t="b">
        <f>LEN(TRIM(G346))=0</f>
        <v>1</v>
      </c>
      <c r="I346" t="s">
        <v>32</v>
      </c>
      <c r="J346" t="b">
        <f>EXACT(I346,PROPER(I346))</f>
        <v>1</v>
      </c>
      <c r="K346" t="s">
        <v>42</v>
      </c>
      <c r="L346" t="str">
        <f>TRIM(K346)</f>
        <v>IT</v>
      </c>
      <c r="M346" t="b">
        <f>K346&lt;&gt;L346</f>
        <v>0</v>
      </c>
      <c r="N346">
        <v>52579.09</v>
      </c>
      <c r="O346" t="b">
        <f>LEN(TRIM(N346))=0</f>
        <v>0</v>
      </c>
      <c r="P346" t="b">
        <f>AND(N346&gt;0, N346&lt;1000000)</f>
        <v>1</v>
      </c>
      <c r="Q346" t="s">
        <v>330</v>
      </c>
      <c r="R346" s="2" t="b">
        <f>LEN(TRIM(Q346))=0</f>
        <v>0</v>
      </c>
      <c r="S346" s="2" t="str">
        <f>IF(RIGHT(TRIM(Q346),9)="gmail.com","OK","Typo")</f>
        <v>OK</v>
      </c>
      <c r="T346" s="2" t="str">
        <f>A346&amp;D346&amp;G346&amp;I346&amp;K346&amp;N346&amp;Q346</f>
        <v>SaraFemaleLahoreIT52579.09sara78@gmail.com</v>
      </c>
      <c r="U346" s="2" t="b">
        <f>COUNTIF(T:T,T346)&gt;1</f>
        <v>0</v>
      </c>
    </row>
    <row r="347" spans="1:21">
      <c r="A347" t="s">
        <v>299</v>
      </c>
      <c r="B347" t="b">
        <f>LEN(TRIM(A347))=0</f>
        <v>0</v>
      </c>
      <c r="C347" t="b">
        <f>COUNTIF(A:A,A347)&gt;1</f>
        <v>1</v>
      </c>
      <c r="D347" t="s">
        <v>22</v>
      </c>
      <c r="E347" t="b">
        <f>LEN(TRIM(D347))=0</f>
        <v>0</v>
      </c>
      <c r="F347" t="b">
        <f>EXACT(D347,PROPER(D347))</f>
        <v>1</v>
      </c>
      <c r="H347" t="b">
        <f>LEN(TRIM(G347))=0</f>
        <v>1</v>
      </c>
      <c r="I347" t="s">
        <v>45</v>
      </c>
      <c r="J347" t="b">
        <f>EXACT(I347,PROPER(I347))</f>
        <v>1</v>
      </c>
      <c r="K347" t="s">
        <v>42</v>
      </c>
      <c r="L347" t="str">
        <f>TRIM(K347)</f>
        <v>IT</v>
      </c>
      <c r="M347" t="b">
        <f>K347&lt;&gt;L347</f>
        <v>0</v>
      </c>
      <c r="O347" t="b">
        <f>LEN(TRIM(N347))=0</f>
        <v>1</v>
      </c>
      <c r="P347" t="b">
        <f>AND(N347&gt;0, N347&lt;1000000)</f>
        <v>0</v>
      </c>
      <c r="Q347" t="s">
        <v>331</v>
      </c>
      <c r="R347" s="2" t="b">
        <f>LEN(TRIM(Q347))=0</f>
        <v>0</v>
      </c>
      <c r="S347" s="2" t="str">
        <f>IF(RIGHT(TRIM(Q347),9)="gmail.com","OK","Typo")</f>
        <v>OK</v>
      </c>
      <c r="T347" s="2" t="str">
        <f>A347&amp;D347&amp;G347&amp;I347&amp;K347&amp;N347&amp;Q347</f>
        <v>SaraMalePeshawarITsara80@gmail.com</v>
      </c>
      <c r="U347" s="2" t="b">
        <f>COUNTIF(T:T,T347)&gt;1</f>
        <v>0</v>
      </c>
    </row>
    <row r="348" spans="1:21">
      <c r="A348" t="s">
        <v>299</v>
      </c>
      <c r="B348" t="b">
        <f>LEN(TRIM(A348))=0</f>
        <v>0</v>
      </c>
      <c r="C348" t="b">
        <f>COUNTIF(A:A,A348)&gt;1</f>
        <v>1</v>
      </c>
      <c r="D348" t="s">
        <v>30</v>
      </c>
      <c r="E348" t="b">
        <f>LEN(TRIM(D348))=0</f>
        <v>0</v>
      </c>
      <c r="F348" t="b">
        <f>EXACT(D348,PROPER(D348))</f>
        <v>1</v>
      </c>
      <c r="G348">
        <v>34</v>
      </c>
      <c r="H348" t="b">
        <f>LEN(TRIM(G348))=0</f>
        <v>0</v>
      </c>
      <c r="I348" t="s">
        <v>101</v>
      </c>
      <c r="J348" t="b">
        <f>EXACT(I348,PROPER(I348))</f>
        <v>0</v>
      </c>
      <c r="K348" t="s">
        <v>29</v>
      </c>
      <c r="L348" t="str">
        <f>TRIM(K348)</f>
        <v>Finance</v>
      </c>
      <c r="M348" t="b">
        <f>K348&lt;&gt;L348</f>
        <v>0</v>
      </c>
      <c r="O348" t="b">
        <f>LEN(TRIM(N348))=0</f>
        <v>1</v>
      </c>
      <c r="P348" t="b">
        <f>AND(N348&gt;0, N348&lt;1000000)</f>
        <v>0</v>
      </c>
      <c r="Q348" t="s">
        <v>332</v>
      </c>
      <c r="R348" s="2" t="b">
        <f>LEN(TRIM(Q348))=0</f>
        <v>0</v>
      </c>
      <c r="S348" s="2" t="str">
        <f>IF(RIGHT(TRIM(Q348),9)="gmail.com","OK","Typo")</f>
        <v>OK</v>
      </c>
      <c r="T348" s="2" t="str">
        <f>A348&amp;D348&amp;G348&amp;I348&amp;K348&amp;N348&amp;Q348</f>
        <v>SaraFemale34peshawarFinancesara84@gmail.com</v>
      </c>
      <c r="U348" s="2" t="b">
        <f>COUNTIF(T:T,T348)&gt;1</f>
        <v>0</v>
      </c>
    </row>
    <row r="349" spans="1:21">
      <c r="A349" t="s">
        <v>299</v>
      </c>
      <c r="B349" t="b">
        <f>LEN(TRIM(A349))=0</f>
        <v>0</v>
      </c>
      <c r="C349" t="b">
        <f>COUNTIF(A:A,A349)&gt;1</f>
        <v>1</v>
      </c>
      <c r="D349" t="s">
        <v>30</v>
      </c>
      <c r="E349" t="b">
        <f>LEN(TRIM(D349))=0</f>
        <v>0</v>
      </c>
      <c r="F349" t="b">
        <f>EXACT(D349,PROPER(D349))</f>
        <v>1</v>
      </c>
      <c r="H349" t="b">
        <f>LEN(TRIM(G349))=0</f>
        <v>1</v>
      </c>
      <c r="I349" t="s">
        <v>157</v>
      </c>
      <c r="J349" t="b">
        <f>EXACT(I349,PROPER(I349))</f>
        <v>0</v>
      </c>
      <c r="K349" t="s">
        <v>38</v>
      </c>
      <c r="L349" t="str">
        <f>TRIM(K349)</f>
        <v>Sales</v>
      </c>
      <c r="M349" t="b">
        <f>K349&lt;&gt;L349</f>
        <v>0</v>
      </c>
      <c r="O349" t="b">
        <f>LEN(TRIM(N349))=0</f>
        <v>1</v>
      </c>
      <c r="P349" t="b">
        <f>AND(N349&gt;0, N349&lt;1000000)</f>
        <v>0</v>
      </c>
      <c r="Q349" t="s">
        <v>333</v>
      </c>
      <c r="R349" s="2" t="b">
        <f>LEN(TRIM(Q349))=0</f>
        <v>0</v>
      </c>
      <c r="S349" s="2" t="str">
        <f>IF(RIGHT(TRIM(Q349),9)="gmail.com","OK","Typo")</f>
        <v>OK</v>
      </c>
      <c r="T349" s="2" t="str">
        <f>A349&amp;D349&amp;G349&amp;I349&amp;K349&amp;N349&amp;Q349</f>
        <v>SaraFemaleislamabadSalessara86@gmail.com</v>
      </c>
      <c r="U349" s="2" t="b">
        <f>COUNTIF(T:T,T349)&gt;1</f>
        <v>0</v>
      </c>
    </row>
    <row r="350" spans="1:21">
      <c r="A350" t="s">
        <v>299</v>
      </c>
      <c r="B350" t="b">
        <f>LEN(TRIM(A350))=0</f>
        <v>0</v>
      </c>
      <c r="C350" t="b">
        <f>COUNTIF(A:A,A350)&gt;1</f>
        <v>1</v>
      </c>
      <c r="D350" t="s">
        <v>30</v>
      </c>
      <c r="E350" t="b">
        <f>LEN(TRIM(D350))=0</f>
        <v>0</v>
      </c>
      <c r="F350" t="b">
        <f>EXACT(D350,PROPER(D350))</f>
        <v>1</v>
      </c>
      <c r="G350">
        <v>41</v>
      </c>
      <c r="H350" t="b">
        <f>LEN(TRIM(G350))=0</f>
        <v>0</v>
      </c>
      <c r="I350" t="s">
        <v>101</v>
      </c>
      <c r="J350" t="b">
        <f>EXACT(I350,PROPER(I350))</f>
        <v>0</v>
      </c>
      <c r="K350" t="s">
        <v>35</v>
      </c>
      <c r="L350" t="str">
        <f>TRIM(K350)</f>
        <v>Marketing</v>
      </c>
      <c r="M350" t="b">
        <f>K350&lt;&gt;L350</f>
        <v>0</v>
      </c>
      <c r="N350">
        <v>146363.91</v>
      </c>
      <c r="O350" t="b">
        <f>LEN(TRIM(N350))=0</f>
        <v>0</v>
      </c>
      <c r="P350" t="b">
        <f>AND(N350&gt;0, N350&lt;1000000)</f>
        <v>1</v>
      </c>
      <c r="Q350" t="s">
        <v>334</v>
      </c>
      <c r="R350" s="2" t="b">
        <f>LEN(TRIM(Q350))=0</f>
        <v>0</v>
      </c>
      <c r="S350" s="2" t="str">
        <f>IF(RIGHT(TRIM(Q350),9)="gmail.com","OK","Typo")</f>
        <v>OK</v>
      </c>
      <c r="T350" s="2" t="str">
        <f>A350&amp;D350&amp;G350&amp;I350&amp;K350&amp;N350&amp;Q350</f>
        <v>SaraFemale41peshawarMarketing146363.91sara9@gmail.com</v>
      </c>
      <c r="U350" s="2" t="b">
        <f>COUNTIF(T:T,T350)&gt;1</f>
        <v>0</v>
      </c>
    </row>
    <row r="351" spans="1:21">
      <c r="A351" t="s">
        <v>299</v>
      </c>
      <c r="B351" t="b">
        <f>LEN(TRIM(A351))=0</f>
        <v>0</v>
      </c>
      <c r="C351" t="b">
        <f>COUNTIF(A:A,A351)&gt;1</f>
        <v>1</v>
      </c>
      <c r="D351" t="s">
        <v>30</v>
      </c>
      <c r="E351" t="b">
        <f>LEN(TRIM(D351))=0</f>
        <v>0</v>
      </c>
      <c r="F351" t="b">
        <f>EXACT(D351,PROPER(D351))</f>
        <v>1</v>
      </c>
      <c r="G351">
        <v>34</v>
      </c>
      <c r="H351" t="b">
        <f>LEN(TRIM(G351))=0</f>
        <v>0</v>
      </c>
      <c r="I351" t="s">
        <v>45</v>
      </c>
      <c r="J351" t="b">
        <f>EXACT(I351,PROPER(I351))</f>
        <v>1</v>
      </c>
      <c r="K351" t="s">
        <v>42</v>
      </c>
      <c r="L351" t="str">
        <f>TRIM(K351)</f>
        <v>IT</v>
      </c>
      <c r="M351" t="b">
        <f>K351&lt;&gt;L351</f>
        <v>0</v>
      </c>
      <c r="O351" t="b">
        <f>LEN(TRIM(N351))=0</f>
        <v>1</v>
      </c>
      <c r="P351" t="b">
        <f>AND(N351&gt;0, N351&lt;1000000)</f>
        <v>0</v>
      </c>
      <c r="Q351" t="s">
        <v>334</v>
      </c>
      <c r="R351" s="2" t="b">
        <f>LEN(TRIM(Q351))=0</f>
        <v>0</v>
      </c>
      <c r="S351" s="2" t="str">
        <f>IF(RIGHT(TRIM(Q351),9)="gmail.com","OK","Typo")</f>
        <v>OK</v>
      </c>
      <c r="T351" s="2" t="str">
        <f>A351&amp;D351&amp;G351&amp;I351&amp;K351&amp;N351&amp;Q351</f>
        <v>SaraFemale34PeshawarITsara9@gmail.com</v>
      </c>
      <c r="U351" s="2" t="b">
        <f>COUNTIF(T:T,T351)&gt;1</f>
        <v>0</v>
      </c>
    </row>
    <row r="352" spans="1:21">
      <c r="A352" t="s">
        <v>299</v>
      </c>
      <c r="B352" t="b">
        <f>LEN(TRIM(A352))=0</f>
        <v>0</v>
      </c>
      <c r="C352" t="b">
        <f>COUNTIF(A:A,A352)&gt;1</f>
        <v>1</v>
      </c>
      <c r="D352" t="s">
        <v>30</v>
      </c>
      <c r="E352" t="b">
        <f>LEN(TRIM(D352))=0</f>
        <v>0</v>
      </c>
      <c r="F352" t="b">
        <f>EXACT(D352,PROPER(D352))</f>
        <v>1</v>
      </c>
      <c r="G352">
        <v>24</v>
      </c>
      <c r="H352" t="b">
        <f>LEN(TRIM(G352))=0</f>
        <v>0</v>
      </c>
      <c r="I352" t="s">
        <v>28</v>
      </c>
      <c r="J352" t="b">
        <f>EXACT(I352,PROPER(I352))</f>
        <v>1</v>
      </c>
      <c r="K352" t="s">
        <v>47</v>
      </c>
      <c r="L352" t="str">
        <f>TRIM(K352)</f>
        <v>Sales</v>
      </c>
      <c r="M352" t="b">
        <f>K352&lt;&gt;L352</f>
        <v>1</v>
      </c>
      <c r="N352">
        <v>100984.33</v>
      </c>
      <c r="O352" t="b">
        <f>LEN(TRIM(N352))=0</f>
        <v>0</v>
      </c>
      <c r="P352" t="b">
        <f>AND(N352&gt;0, N352&lt;1000000)</f>
        <v>1</v>
      </c>
      <c r="Q352" t="s">
        <v>335</v>
      </c>
      <c r="R352" s="2" t="b">
        <f>LEN(TRIM(Q352))=0</f>
        <v>0</v>
      </c>
      <c r="S352" s="2" t="str">
        <f>IF(RIGHT(TRIM(Q352),9)="gmail.com","OK","Typo")</f>
        <v>OK</v>
      </c>
      <c r="T352" s="2" t="str">
        <f>A352&amp;D352&amp;G352&amp;I352&amp;K352&amp;N352&amp;Q352</f>
        <v>SaraFemale24Karachi Sales 100984.33sara90@gmail.com</v>
      </c>
      <c r="U352" s="2" t="b">
        <f>COUNTIF(T:T,T352)&gt;1</f>
        <v>0</v>
      </c>
    </row>
    <row r="353" spans="1:21">
      <c r="A353" t="s">
        <v>299</v>
      </c>
      <c r="B353" t="b">
        <f>LEN(TRIM(A353))=0</f>
        <v>0</v>
      </c>
      <c r="C353" t="b">
        <f>COUNTIF(A:A,A353)&gt;1</f>
        <v>1</v>
      </c>
      <c r="D353" t="s">
        <v>30</v>
      </c>
      <c r="E353" t="b">
        <f>LEN(TRIM(D353))=0</f>
        <v>0</v>
      </c>
      <c r="F353" t="b">
        <f>EXACT(D353,PROPER(D353))</f>
        <v>1</v>
      </c>
      <c r="G353">
        <v>47</v>
      </c>
      <c r="H353" t="b">
        <f>LEN(TRIM(G353))=0</f>
        <v>0</v>
      </c>
      <c r="I353" t="s">
        <v>23</v>
      </c>
      <c r="J353" t="b">
        <f>EXACT(I353,PROPER(I353))</f>
        <v>1</v>
      </c>
      <c r="K353" t="s">
        <v>35</v>
      </c>
      <c r="L353" t="str">
        <f>TRIM(K353)</f>
        <v>Marketing</v>
      </c>
      <c r="M353" t="b">
        <f>K353&lt;&gt;L353</f>
        <v>0</v>
      </c>
      <c r="N353">
        <v>56060.18</v>
      </c>
      <c r="O353" t="b">
        <f>LEN(TRIM(N353))=0</f>
        <v>0</v>
      </c>
      <c r="P353" t="b">
        <f>AND(N353&gt;0, N353&lt;1000000)</f>
        <v>1</v>
      </c>
      <c r="Q353" t="s">
        <v>336</v>
      </c>
      <c r="R353" s="2" t="b">
        <f>LEN(TRIM(Q353))=0</f>
        <v>0</v>
      </c>
      <c r="S353" s="2" t="str">
        <f>IF(RIGHT(TRIM(Q353),9)="gmail.com","OK","Typo")</f>
        <v>OK</v>
      </c>
      <c r="T353" s="2" t="str">
        <f>A353&amp;D353&amp;G353&amp;I353&amp;K353&amp;N353&amp;Q353</f>
        <v>SaraFemale47QuettaMarketing56060.18sara93@gmail.com</v>
      </c>
      <c r="U353" s="2" t="b">
        <f>COUNTIF(T:T,T353)&gt;1</f>
        <v>0</v>
      </c>
    </row>
    <row r="354" spans="1:21">
      <c r="A354" t="s">
        <v>299</v>
      </c>
      <c r="B354" t="b">
        <f>LEN(TRIM(A354))=0</f>
        <v>0</v>
      </c>
      <c r="C354" t="b">
        <f>COUNTIF(A:A,A354)&gt;1</f>
        <v>1</v>
      </c>
      <c r="D354" t="s">
        <v>30</v>
      </c>
      <c r="E354" t="b">
        <f>LEN(TRIM(D354))=0</f>
        <v>0</v>
      </c>
      <c r="F354" t="b">
        <f>EXACT(D354,PROPER(D354))</f>
        <v>1</v>
      </c>
      <c r="H354" t="b">
        <f>LEN(TRIM(G354))=0</f>
        <v>1</v>
      </c>
      <c r="I354" t="s">
        <v>28</v>
      </c>
      <c r="J354" t="b">
        <f>EXACT(I354,PROPER(I354))</f>
        <v>1</v>
      </c>
      <c r="K354" t="s">
        <v>24</v>
      </c>
      <c r="L354" t="str">
        <f>TRIM(K354)</f>
        <v>HR</v>
      </c>
      <c r="M354" t="b">
        <f>K354&lt;&gt;L354</f>
        <v>0</v>
      </c>
      <c r="O354" t="b">
        <f>LEN(TRIM(N354))=0</f>
        <v>1</v>
      </c>
      <c r="P354" t="b">
        <f>AND(N354&gt;0, N354&lt;1000000)</f>
        <v>0</v>
      </c>
      <c r="Q354" t="s">
        <v>337</v>
      </c>
      <c r="R354" s="2" t="b">
        <f>LEN(TRIM(Q354))=0</f>
        <v>0</v>
      </c>
      <c r="S354" s="2" t="str">
        <f>IF(RIGHT(TRIM(Q354),9)="gmail.com","OK","Typo")</f>
        <v>OK</v>
      </c>
      <c r="T354" s="2" t="str">
        <f>A354&amp;D354&amp;G354&amp;I354&amp;K354&amp;N354&amp;Q354</f>
        <v>SaraFemaleKarachiHRsara96@gmail.com</v>
      </c>
      <c r="U354" s="2" t="b">
        <f>COUNTIF(T:T,T354)&gt;1</f>
        <v>0</v>
      </c>
    </row>
    <row r="355" spans="1:21">
      <c r="A355" t="s">
        <v>299</v>
      </c>
      <c r="B355" t="b">
        <f>LEN(TRIM(A355))=0</f>
        <v>0</v>
      </c>
      <c r="C355" t="b">
        <f>COUNTIF(A:A,A355)&gt;1</f>
        <v>1</v>
      </c>
      <c r="D355" t="s">
        <v>22</v>
      </c>
      <c r="E355" t="b">
        <f>LEN(TRIM(D355))=0</f>
        <v>0</v>
      </c>
      <c r="F355" t="b">
        <f>EXACT(D355,PROPER(D355))</f>
        <v>1</v>
      </c>
      <c r="G355">
        <v>41</v>
      </c>
      <c r="H355" t="b">
        <f>LEN(TRIM(G355))=0</f>
        <v>0</v>
      </c>
      <c r="I355" t="s">
        <v>66</v>
      </c>
      <c r="J355" t="b">
        <f>EXACT(I355,PROPER(I355))</f>
        <v>0</v>
      </c>
      <c r="K355" t="s">
        <v>29</v>
      </c>
      <c r="L355" t="str">
        <f>TRIM(K355)</f>
        <v>Finance</v>
      </c>
      <c r="M355" t="b">
        <f>K355&lt;&gt;L355</f>
        <v>0</v>
      </c>
      <c r="O355" t="b">
        <f>LEN(TRIM(N355))=0</f>
        <v>1</v>
      </c>
      <c r="P355" t="b">
        <f>AND(N355&gt;0, N355&lt;1000000)</f>
        <v>0</v>
      </c>
      <c r="Q355" t="s">
        <v>338</v>
      </c>
      <c r="R355" s="2" t="b">
        <f>LEN(TRIM(Q355))=0</f>
        <v>0</v>
      </c>
      <c r="S355" s="2" t="str">
        <f>IF(RIGHT(TRIM(Q355),9)="gmail.com","OK","Typo")</f>
        <v>OK</v>
      </c>
      <c r="T355" s="2" t="str">
        <f>A355&amp;D355&amp;G355&amp;I355&amp;K355&amp;N355&amp;Q355</f>
        <v>SaraMale41karachiFinancesara97@gmail.com</v>
      </c>
      <c r="U355" s="2" t="b">
        <f>COUNTIF(T:T,T355)&gt;1</f>
        <v>0</v>
      </c>
    </row>
    <row r="356" spans="1:21">
      <c r="A356" t="s">
        <v>299</v>
      </c>
      <c r="B356" t="b">
        <f>LEN(TRIM(A356))=0</f>
        <v>0</v>
      </c>
      <c r="C356" t="b">
        <f>COUNTIF(A:A,A356)&gt;1</f>
        <v>1</v>
      </c>
      <c r="D356" t="s">
        <v>22</v>
      </c>
      <c r="E356" t="b">
        <f>LEN(TRIM(D356))=0</f>
        <v>0</v>
      </c>
      <c r="F356" t="b">
        <f>EXACT(D356,PROPER(D356))</f>
        <v>1</v>
      </c>
      <c r="G356">
        <v>52</v>
      </c>
      <c r="H356" t="b">
        <f>LEN(TRIM(G356))=0</f>
        <v>0</v>
      </c>
      <c r="I356" t="s">
        <v>37</v>
      </c>
      <c r="J356" t="b">
        <f>EXACT(I356,PROPER(I356))</f>
        <v>1</v>
      </c>
      <c r="K356" t="s">
        <v>29</v>
      </c>
      <c r="L356" t="str">
        <f>TRIM(K356)</f>
        <v>Finance</v>
      </c>
      <c r="M356" t="b">
        <f>K356&lt;&gt;L356</f>
        <v>0</v>
      </c>
      <c r="O356" t="b">
        <f>LEN(TRIM(N356))=0</f>
        <v>1</v>
      </c>
      <c r="P356" t="b">
        <f>AND(N356&gt;0, N356&lt;1000000)</f>
        <v>0</v>
      </c>
      <c r="Q356" t="s">
        <v>338</v>
      </c>
      <c r="R356" s="2" t="b">
        <f>LEN(TRIM(Q356))=0</f>
        <v>0</v>
      </c>
      <c r="S356" s="2" t="str">
        <f>IF(RIGHT(TRIM(Q356),9)="gmail.com","OK","Typo")</f>
        <v>OK</v>
      </c>
      <c r="T356" s="2" t="str">
        <f>A356&amp;D356&amp;G356&amp;I356&amp;K356&amp;N356&amp;Q356</f>
        <v>SaraMale52IslamabadFinancesara97@gmail.com</v>
      </c>
      <c r="U356" s="2" t="b">
        <f>COUNTIF(T:T,T356)&gt;1</f>
        <v>0</v>
      </c>
    </row>
    <row r="357" spans="1:21">
      <c r="A357" t="s">
        <v>339</v>
      </c>
      <c r="B357" t="b">
        <f>LEN(TRIM(A357))=0</f>
        <v>0</v>
      </c>
      <c r="C357" t="b">
        <f>COUNTIF(A:A,A357)&gt;1</f>
        <v>1</v>
      </c>
      <c r="D357" t="s">
        <v>30</v>
      </c>
      <c r="E357" t="b">
        <f>LEN(TRIM(D357))=0</f>
        <v>0</v>
      </c>
      <c r="F357" t="b">
        <f>EXACT(D357,PROPER(D357))</f>
        <v>1</v>
      </c>
      <c r="G357">
        <v>24</v>
      </c>
      <c r="H357" t="b">
        <f>LEN(TRIM(G357))=0</f>
        <v>0</v>
      </c>
      <c r="I357" t="s">
        <v>52</v>
      </c>
      <c r="J357" t="b">
        <f>EXACT(I357,PROPER(I357))</f>
        <v>0</v>
      </c>
      <c r="K357" t="s">
        <v>38</v>
      </c>
      <c r="L357" t="str">
        <f>TRIM(K357)</f>
        <v>Sales</v>
      </c>
      <c r="M357" t="b">
        <f>K357&lt;&gt;L357</f>
        <v>0</v>
      </c>
      <c r="O357" t="b">
        <f>LEN(TRIM(N357))=0</f>
        <v>1</v>
      </c>
      <c r="P357" t="b">
        <f>AND(N357&gt;0, N357&lt;1000000)</f>
        <v>0</v>
      </c>
      <c r="Q357" t="s">
        <v>340</v>
      </c>
      <c r="R357" s="2" t="b">
        <f>LEN(TRIM(Q357))=0</f>
        <v>0</v>
      </c>
      <c r="S357" s="2" t="str">
        <f>IF(RIGHT(TRIM(Q357),9)="gmail.com","OK","Typo")</f>
        <v>Typo</v>
      </c>
      <c r="T357" s="2" t="str">
        <f>A357&amp;D357&amp;G357&amp;I357&amp;K357&amp;N357&amp;Q357</f>
        <v>TariqFemale24lahoreSalestariq10@gamil.com</v>
      </c>
      <c r="U357" s="2" t="b">
        <f>COUNTIF(T:T,T357)&gt;1</f>
        <v>0</v>
      </c>
    </row>
    <row r="358" spans="1:21">
      <c r="A358" t="s">
        <v>339</v>
      </c>
      <c r="B358" t="b">
        <f>LEN(TRIM(A358))=0</f>
        <v>0</v>
      </c>
      <c r="C358" t="b">
        <f>COUNTIF(A:A,A358)&gt;1</f>
        <v>1</v>
      </c>
      <c r="D358" t="s">
        <v>22</v>
      </c>
      <c r="E358" t="b">
        <f>LEN(TRIM(D358))=0</f>
        <v>0</v>
      </c>
      <c r="F358" t="b">
        <f>EXACT(D358,PROPER(D358))</f>
        <v>1</v>
      </c>
      <c r="H358" t="b">
        <f>LEN(TRIM(G358))=0</f>
        <v>1</v>
      </c>
      <c r="I358" t="s">
        <v>45</v>
      </c>
      <c r="J358" t="b">
        <f>EXACT(I358,PROPER(I358))</f>
        <v>1</v>
      </c>
      <c r="K358" t="s">
        <v>42</v>
      </c>
      <c r="L358" t="str">
        <f>TRIM(K358)</f>
        <v>IT</v>
      </c>
      <c r="M358" t="b">
        <f>K358&lt;&gt;L358</f>
        <v>0</v>
      </c>
      <c r="O358" t="b">
        <f>LEN(TRIM(N358))=0</f>
        <v>1</v>
      </c>
      <c r="P358" t="b">
        <f>AND(N358&gt;0, N358&lt;1000000)</f>
        <v>0</v>
      </c>
      <c r="Q358" t="s">
        <v>341</v>
      </c>
      <c r="R358" s="2" t="b">
        <f>LEN(TRIM(Q358))=0</f>
        <v>0</v>
      </c>
      <c r="S358" s="2" t="str">
        <f>IF(RIGHT(TRIM(Q358),9)="gmail.com","OK","Typo")</f>
        <v>OK</v>
      </c>
      <c r="T358" s="2" t="str">
        <f>A358&amp;D358&amp;G358&amp;I358&amp;K358&amp;N358&amp;Q358</f>
        <v>TariqMalePeshawarITtariq10@gmail.com</v>
      </c>
      <c r="U358" s="2" t="b">
        <f>COUNTIF(T:T,T358)&gt;1</f>
        <v>0</v>
      </c>
    </row>
    <row r="359" spans="1:21">
      <c r="A359" t="s">
        <v>339</v>
      </c>
      <c r="B359" t="b">
        <f>LEN(TRIM(A359))=0</f>
        <v>0</v>
      </c>
      <c r="C359" t="b">
        <f>COUNTIF(A:A,A359)&gt;1</f>
        <v>1</v>
      </c>
      <c r="D359" t="s">
        <v>22</v>
      </c>
      <c r="E359" t="b">
        <f>LEN(TRIM(D359))=0</f>
        <v>0</v>
      </c>
      <c r="F359" t="b">
        <f>EXACT(D359,PROPER(D359))</f>
        <v>1</v>
      </c>
      <c r="H359" t="b">
        <f>LEN(TRIM(G359))=0</f>
        <v>1</v>
      </c>
      <c r="I359" t="s">
        <v>157</v>
      </c>
      <c r="J359" t="b">
        <f>EXACT(I359,PROPER(I359))</f>
        <v>0</v>
      </c>
      <c r="K359" t="s">
        <v>74</v>
      </c>
      <c r="L359" t="str">
        <f>TRIM(K359)</f>
        <v>Marketing</v>
      </c>
      <c r="M359" t="b">
        <f>K359&lt;&gt;L359</f>
        <v>1</v>
      </c>
      <c r="N359">
        <v>70916.63</v>
      </c>
      <c r="O359" t="b">
        <f>LEN(TRIM(N359))=0</f>
        <v>0</v>
      </c>
      <c r="P359" t="b">
        <f>AND(N359&gt;0, N359&lt;1000000)</f>
        <v>1</v>
      </c>
      <c r="Q359" t="s">
        <v>342</v>
      </c>
      <c r="R359" s="2" t="b">
        <f>LEN(TRIM(Q359))=0</f>
        <v>0</v>
      </c>
      <c r="S359" s="2" t="str">
        <f>IF(RIGHT(TRIM(Q359),9)="gmail.com","OK","Typo")</f>
        <v>OK</v>
      </c>
      <c r="T359" s="2" t="str">
        <f>A359&amp;D359&amp;G359&amp;I359&amp;K359&amp;N359&amp;Q359</f>
        <v>TariqMaleislamabad Marketing 70916.63tariq17@gmail.com</v>
      </c>
      <c r="U359" s="2" t="b">
        <f>COUNTIF(T:T,T359)&gt;1</f>
        <v>0</v>
      </c>
    </row>
    <row r="360" spans="1:21">
      <c r="A360" t="s">
        <v>339</v>
      </c>
      <c r="B360" t="b">
        <f>LEN(TRIM(A360))=0</f>
        <v>0</v>
      </c>
      <c r="C360" t="b">
        <f>COUNTIF(A:A,A360)&gt;1</f>
        <v>1</v>
      </c>
      <c r="D360" t="s">
        <v>22</v>
      </c>
      <c r="E360" t="b">
        <f>LEN(TRIM(D360))=0</f>
        <v>0</v>
      </c>
      <c r="F360" t="b">
        <f>EXACT(D360,PROPER(D360))</f>
        <v>1</v>
      </c>
      <c r="H360" t="b">
        <f>LEN(TRIM(G360))=0</f>
        <v>1</v>
      </c>
      <c r="I360" t="s">
        <v>32</v>
      </c>
      <c r="J360" t="b">
        <f>EXACT(I360,PROPER(I360))</f>
        <v>1</v>
      </c>
      <c r="K360" t="s">
        <v>26</v>
      </c>
      <c r="L360" t="str">
        <f>TRIM(K360)</f>
        <v>HR</v>
      </c>
      <c r="M360" t="b">
        <f>K360&lt;&gt;L360</f>
        <v>1</v>
      </c>
      <c r="O360" t="b">
        <f>LEN(TRIM(N360))=0</f>
        <v>1</v>
      </c>
      <c r="P360" t="b">
        <f>AND(N360&gt;0, N360&lt;1000000)</f>
        <v>0</v>
      </c>
      <c r="Q360" t="s">
        <v>342</v>
      </c>
      <c r="R360" s="2" t="b">
        <f>LEN(TRIM(Q360))=0</f>
        <v>0</v>
      </c>
      <c r="S360" s="2" t="str">
        <f>IF(RIGHT(TRIM(Q360),9)="gmail.com","OK","Typo")</f>
        <v>OK</v>
      </c>
      <c r="T360" s="2" t="str">
        <f>A360&amp;D360&amp;G360&amp;I360&amp;K360&amp;N360&amp;Q360</f>
        <v>TariqMaleLahore HR tariq17@gmail.com</v>
      </c>
      <c r="U360" s="2" t="b">
        <f>COUNTIF(T:T,T360)&gt;1</f>
        <v>0</v>
      </c>
    </row>
    <row r="361" spans="1:21">
      <c r="A361" t="s">
        <v>339</v>
      </c>
      <c r="B361" t="b">
        <f>LEN(TRIM(A361))=0</f>
        <v>0</v>
      </c>
      <c r="C361" t="b">
        <f>COUNTIF(A:A,A361)&gt;1</f>
        <v>1</v>
      </c>
      <c r="D361" t="s">
        <v>22</v>
      </c>
      <c r="E361" t="b">
        <f>LEN(TRIM(D361))=0</f>
        <v>0</v>
      </c>
      <c r="F361" t="b">
        <f>EXACT(D361,PROPER(D361))</f>
        <v>1</v>
      </c>
      <c r="G361">
        <v>35</v>
      </c>
      <c r="H361" t="b">
        <f>LEN(TRIM(G361))=0</f>
        <v>0</v>
      </c>
      <c r="I361" t="s">
        <v>28</v>
      </c>
      <c r="J361" t="b">
        <f>EXACT(I361,PROPER(I361))</f>
        <v>1</v>
      </c>
      <c r="K361" t="s">
        <v>24</v>
      </c>
      <c r="L361" t="str">
        <f>TRIM(K361)</f>
        <v>HR</v>
      </c>
      <c r="M361" t="b">
        <f>K361&lt;&gt;L361</f>
        <v>0</v>
      </c>
      <c r="O361" t="b">
        <f>LEN(TRIM(N361))=0</f>
        <v>1</v>
      </c>
      <c r="P361" t="b">
        <f>AND(N361&gt;0, N361&lt;1000000)</f>
        <v>0</v>
      </c>
      <c r="Q361" t="s">
        <v>342</v>
      </c>
      <c r="R361" s="2" t="b">
        <f>LEN(TRIM(Q361))=0</f>
        <v>0</v>
      </c>
      <c r="S361" s="2" t="str">
        <f>IF(RIGHT(TRIM(Q361),9)="gmail.com","OK","Typo")</f>
        <v>OK</v>
      </c>
      <c r="T361" s="2" t="str">
        <f>A361&amp;D361&amp;G361&amp;I361&amp;K361&amp;N361&amp;Q361</f>
        <v>TariqMale35KarachiHRtariq17@gmail.com</v>
      </c>
      <c r="U361" s="2" t="b">
        <f>COUNTIF(T:T,T361)&gt;1</f>
        <v>0</v>
      </c>
    </row>
    <row r="362" spans="1:21">
      <c r="A362" t="s">
        <v>339</v>
      </c>
      <c r="B362" t="b">
        <f>LEN(TRIM(A362))=0</f>
        <v>0</v>
      </c>
      <c r="C362" t="b">
        <f>COUNTIF(A:A,A362)&gt;1</f>
        <v>1</v>
      </c>
      <c r="D362" t="s">
        <v>30</v>
      </c>
      <c r="E362" t="b">
        <f>LEN(TRIM(D362))=0</f>
        <v>0</v>
      </c>
      <c r="F362" t="b">
        <f>EXACT(D362,PROPER(D362))</f>
        <v>1</v>
      </c>
      <c r="G362">
        <v>29</v>
      </c>
      <c r="H362" t="b">
        <f>LEN(TRIM(G362))=0</f>
        <v>0</v>
      </c>
      <c r="I362" t="s">
        <v>32</v>
      </c>
      <c r="J362" t="b">
        <f>EXACT(I362,PROPER(I362))</f>
        <v>1</v>
      </c>
      <c r="K362" t="s">
        <v>29</v>
      </c>
      <c r="L362" t="str">
        <f>TRIM(K362)</f>
        <v>Finance</v>
      </c>
      <c r="M362" t="b">
        <f>K362&lt;&gt;L362</f>
        <v>0</v>
      </c>
      <c r="N362">
        <v>71485.960000000006</v>
      </c>
      <c r="O362" t="b">
        <f>LEN(TRIM(N362))=0</f>
        <v>0</v>
      </c>
      <c r="P362" t="b">
        <f>AND(N362&gt;0, N362&lt;1000000)</f>
        <v>1</v>
      </c>
      <c r="Q362" t="s">
        <v>343</v>
      </c>
      <c r="R362" s="2" t="b">
        <f>LEN(TRIM(Q362))=0</f>
        <v>0</v>
      </c>
      <c r="S362" s="2" t="str">
        <f>IF(RIGHT(TRIM(Q362),9)="gmail.com","OK","Typo")</f>
        <v>OK</v>
      </c>
      <c r="T362" s="2" t="str">
        <f>A362&amp;D362&amp;G362&amp;I362&amp;K362&amp;N362&amp;Q362</f>
        <v>TariqFemale29LahoreFinance71485.96tariq19@gmail.com</v>
      </c>
      <c r="U362" s="2" t="b">
        <f>COUNTIF(T:T,T362)&gt;1</f>
        <v>0</v>
      </c>
    </row>
    <row r="363" spans="1:21">
      <c r="A363" t="s">
        <v>339</v>
      </c>
      <c r="B363" t="b">
        <f>LEN(TRIM(A363))=0</f>
        <v>0</v>
      </c>
      <c r="C363" t="b">
        <f>COUNTIF(A:A,A363)&gt;1</f>
        <v>1</v>
      </c>
      <c r="D363" t="s">
        <v>22</v>
      </c>
      <c r="E363" t="b">
        <f>LEN(TRIM(D363))=0</f>
        <v>0</v>
      </c>
      <c r="F363" t="b">
        <f>EXACT(D363,PROPER(D363))</f>
        <v>1</v>
      </c>
      <c r="G363">
        <v>24</v>
      </c>
      <c r="H363" t="b">
        <f>LEN(TRIM(G363))=0</f>
        <v>0</v>
      </c>
      <c r="I363" t="s">
        <v>23</v>
      </c>
      <c r="J363" t="b">
        <f>EXACT(I363,PROPER(I363))</f>
        <v>1</v>
      </c>
      <c r="K363" t="s">
        <v>29</v>
      </c>
      <c r="L363" t="str">
        <f>TRIM(K363)</f>
        <v>Finance</v>
      </c>
      <c r="M363" t="b">
        <f>K363&lt;&gt;L363</f>
        <v>0</v>
      </c>
      <c r="O363" t="b">
        <f>LEN(TRIM(N363))=0</f>
        <v>1</v>
      </c>
      <c r="P363" t="b">
        <f>AND(N363&gt;0, N363&lt;1000000)</f>
        <v>0</v>
      </c>
      <c r="Q363" t="s">
        <v>344</v>
      </c>
      <c r="R363" s="2" t="b">
        <f>LEN(TRIM(Q363))=0</f>
        <v>0</v>
      </c>
      <c r="S363" s="2" t="str">
        <f>IF(RIGHT(TRIM(Q363),9)="gmail.com","OK","Typo")</f>
        <v>OK</v>
      </c>
      <c r="T363" s="2" t="str">
        <f>A363&amp;D363&amp;G363&amp;I363&amp;K363&amp;N363&amp;Q363</f>
        <v>TariqMale24QuettaFinancetariq21@gmail.com</v>
      </c>
      <c r="U363" s="2" t="b">
        <f>COUNTIF(T:T,T363)&gt;1</f>
        <v>0</v>
      </c>
    </row>
    <row r="364" spans="1:21">
      <c r="A364" t="s">
        <v>339</v>
      </c>
      <c r="B364" t="b">
        <f>LEN(TRIM(A364))=0</f>
        <v>0</v>
      </c>
      <c r="C364" t="b">
        <f>COUNTIF(A:A,A364)&gt;1</f>
        <v>1</v>
      </c>
      <c r="D364" t="s">
        <v>30</v>
      </c>
      <c r="E364" t="b">
        <f>LEN(TRIM(D364))=0</f>
        <v>0</v>
      </c>
      <c r="F364" t="b">
        <f>EXACT(D364,PROPER(D364))</f>
        <v>1</v>
      </c>
      <c r="G364">
        <v>27</v>
      </c>
      <c r="H364" t="b">
        <f>LEN(TRIM(G364))=0</f>
        <v>0</v>
      </c>
      <c r="I364" t="s">
        <v>28</v>
      </c>
      <c r="J364" t="b">
        <f>EXACT(I364,PROPER(I364))</f>
        <v>1</v>
      </c>
      <c r="K364" t="s">
        <v>24</v>
      </c>
      <c r="L364" t="str">
        <f>TRIM(K364)</f>
        <v>HR</v>
      </c>
      <c r="M364" t="b">
        <f>K364&lt;&gt;L364</f>
        <v>0</v>
      </c>
      <c r="N364">
        <v>71704.399999999994</v>
      </c>
      <c r="O364" t="b">
        <f>LEN(TRIM(N364))=0</f>
        <v>0</v>
      </c>
      <c r="P364" t="b">
        <f>AND(N364&gt;0, N364&lt;1000000)</f>
        <v>1</v>
      </c>
      <c r="Q364" t="s">
        <v>345</v>
      </c>
      <c r="R364" s="2" t="b">
        <f>LEN(TRIM(Q364))=0</f>
        <v>0</v>
      </c>
      <c r="S364" s="2" t="str">
        <f>IF(RIGHT(TRIM(Q364),9)="gmail.com","OK","Typo")</f>
        <v>OK</v>
      </c>
      <c r="T364" s="2" t="str">
        <f>A364&amp;D364&amp;G364&amp;I364&amp;K364&amp;N364&amp;Q364</f>
        <v>TariqFemale27KarachiHR71704.4tariq29@gmail.com</v>
      </c>
      <c r="U364" s="2" t="b">
        <f>COUNTIF(T:T,T364)&gt;1</f>
        <v>0</v>
      </c>
    </row>
    <row r="365" spans="1:21">
      <c r="A365" t="s">
        <v>339</v>
      </c>
      <c r="B365" t="b">
        <f>LEN(TRIM(A365))=0</f>
        <v>0</v>
      </c>
      <c r="C365" t="b">
        <f>COUNTIF(A:A,A365)&gt;1</f>
        <v>1</v>
      </c>
      <c r="D365" t="s">
        <v>30</v>
      </c>
      <c r="E365" t="b">
        <f>LEN(TRIM(D365))=0</f>
        <v>0</v>
      </c>
      <c r="F365" t="b">
        <f>EXACT(D365,PROPER(D365))</f>
        <v>1</v>
      </c>
      <c r="H365" t="b">
        <f>LEN(TRIM(G365))=0</f>
        <v>1</v>
      </c>
      <c r="I365" t="s">
        <v>37</v>
      </c>
      <c r="J365" t="b">
        <f>EXACT(I365,PROPER(I365))</f>
        <v>1</v>
      </c>
      <c r="K365" t="s">
        <v>42</v>
      </c>
      <c r="L365" t="str">
        <f>TRIM(K365)</f>
        <v>IT</v>
      </c>
      <c r="M365" t="b">
        <f>K365&lt;&gt;L365</f>
        <v>0</v>
      </c>
      <c r="O365" t="b">
        <f>LEN(TRIM(N365))=0</f>
        <v>1</v>
      </c>
      <c r="P365" t="b">
        <f>AND(N365&gt;0, N365&lt;1000000)</f>
        <v>0</v>
      </c>
      <c r="Q365" t="s">
        <v>346</v>
      </c>
      <c r="R365" s="2" t="b">
        <f>LEN(TRIM(Q365))=0</f>
        <v>0</v>
      </c>
      <c r="S365" s="2" t="str">
        <f>IF(RIGHT(TRIM(Q365),9)="gmail.com","OK","Typo")</f>
        <v>OK</v>
      </c>
      <c r="T365" s="2" t="str">
        <f>A365&amp;D365&amp;G365&amp;I365&amp;K365&amp;N365&amp;Q365</f>
        <v>TariqFemaleIslamabadITtariq31@gmail.com</v>
      </c>
      <c r="U365" s="2" t="b">
        <f>COUNTIF(T:T,T365)&gt;1</f>
        <v>0</v>
      </c>
    </row>
    <row r="366" spans="1:21">
      <c r="A366" t="s">
        <v>339</v>
      </c>
      <c r="B366" t="b">
        <f>LEN(TRIM(A366))=0</f>
        <v>0</v>
      </c>
      <c r="C366" t="b">
        <f>COUNTIF(A:A,A366)&gt;1</f>
        <v>1</v>
      </c>
      <c r="D366" t="s">
        <v>30</v>
      </c>
      <c r="E366" t="b">
        <f>LEN(TRIM(D366))=0</f>
        <v>0</v>
      </c>
      <c r="F366" t="b">
        <f>EXACT(D366,PROPER(D366))</f>
        <v>1</v>
      </c>
      <c r="H366" t="b">
        <f>LEN(TRIM(G366))=0</f>
        <v>1</v>
      </c>
      <c r="I366" t="s">
        <v>37</v>
      </c>
      <c r="J366" t="b">
        <f>EXACT(I366,PROPER(I366))</f>
        <v>1</v>
      </c>
      <c r="K366" t="s">
        <v>74</v>
      </c>
      <c r="L366" t="str">
        <f>TRIM(K366)</f>
        <v>Marketing</v>
      </c>
      <c r="M366" t="b">
        <f>K366&lt;&gt;L366</f>
        <v>1</v>
      </c>
      <c r="N366">
        <v>97298.18</v>
      </c>
      <c r="O366" t="b">
        <f>LEN(TRIM(N366))=0</f>
        <v>0</v>
      </c>
      <c r="P366" t="b">
        <f>AND(N366&gt;0, N366&lt;1000000)</f>
        <v>1</v>
      </c>
      <c r="Q366" t="s">
        <v>347</v>
      </c>
      <c r="R366" s="2" t="b">
        <f>LEN(TRIM(Q366))=0</f>
        <v>0</v>
      </c>
      <c r="S366" s="2" t="str">
        <f>IF(RIGHT(TRIM(Q366),9)="gmail.com","OK","Typo")</f>
        <v>OK</v>
      </c>
      <c r="T366" s="2" t="str">
        <f>A366&amp;D366&amp;G366&amp;I366&amp;K366&amp;N366&amp;Q366</f>
        <v>TariqFemaleIslamabad Marketing 97298.18tariq33@gmail.com</v>
      </c>
      <c r="U366" s="2" t="b">
        <f>COUNTIF(T:T,T366)&gt;1</f>
        <v>0</v>
      </c>
    </row>
    <row r="367" spans="1:21">
      <c r="A367" t="s">
        <v>339</v>
      </c>
      <c r="B367" t="b">
        <f>LEN(TRIM(A367))=0</f>
        <v>0</v>
      </c>
      <c r="C367" t="b">
        <f>COUNTIF(A:A,A367)&gt;1</f>
        <v>1</v>
      </c>
      <c r="D367" t="s">
        <v>30</v>
      </c>
      <c r="E367" t="b">
        <f>LEN(TRIM(D367))=0</f>
        <v>0</v>
      </c>
      <c r="F367" t="b">
        <f>EXACT(D367,PROPER(D367))</f>
        <v>1</v>
      </c>
      <c r="G367">
        <v>36</v>
      </c>
      <c r="H367" t="b">
        <f>LEN(TRIM(G367))=0</f>
        <v>0</v>
      </c>
      <c r="I367" t="s">
        <v>32</v>
      </c>
      <c r="J367" t="b">
        <f>EXACT(I367,PROPER(I367))</f>
        <v>1</v>
      </c>
      <c r="K367" t="s">
        <v>24</v>
      </c>
      <c r="L367" t="str">
        <f>TRIM(K367)</f>
        <v>HR</v>
      </c>
      <c r="M367" t="b">
        <f>K367&lt;&gt;L367</f>
        <v>0</v>
      </c>
      <c r="O367" t="b">
        <f>LEN(TRIM(N367))=0</f>
        <v>1</v>
      </c>
      <c r="P367" t="b">
        <f>AND(N367&gt;0, N367&lt;1000000)</f>
        <v>0</v>
      </c>
      <c r="Q367" t="s">
        <v>348</v>
      </c>
      <c r="R367" s="2" t="b">
        <f>LEN(TRIM(Q367))=0</f>
        <v>0</v>
      </c>
      <c r="S367" s="2" t="str">
        <f>IF(RIGHT(TRIM(Q367),9)="gmail.com","OK","Typo")</f>
        <v>OK</v>
      </c>
      <c r="T367" s="2" t="str">
        <f>A367&amp;D367&amp;G367&amp;I367&amp;K367&amp;N367&amp;Q367</f>
        <v>TariqFemale36LahoreHRtariq34@gmail.com</v>
      </c>
      <c r="U367" s="2" t="b">
        <f>COUNTIF(T:T,T367)&gt;1</f>
        <v>0</v>
      </c>
    </row>
    <row r="368" spans="1:21">
      <c r="A368" t="s">
        <v>339</v>
      </c>
      <c r="B368" t="b">
        <f>LEN(TRIM(A368))=0</f>
        <v>0</v>
      </c>
      <c r="C368" t="b">
        <f>COUNTIF(A:A,A368)&gt;1</f>
        <v>1</v>
      </c>
      <c r="D368" t="s">
        <v>30</v>
      </c>
      <c r="E368" t="b">
        <f>LEN(TRIM(D368))=0</f>
        <v>0</v>
      </c>
      <c r="F368" t="b">
        <f>EXACT(D368,PROPER(D368))</f>
        <v>1</v>
      </c>
      <c r="G368">
        <v>36</v>
      </c>
      <c r="H368" t="b">
        <f>LEN(TRIM(G368))=0</f>
        <v>0</v>
      </c>
      <c r="I368" t="s">
        <v>37</v>
      </c>
      <c r="J368" t="b">
        <f>EXACT(I368,PROPER(I368))</f>
        <v>1</v>
      </c>
      <c r="K368" t="s">
        <v>35</v>
      </c>
      <c r="L368" t="str">
        <f>TRIM(K368)</f>
        <v>Marketing</v>
      </c>
      <c r="M368" t="b">
        <f>K368&lt;&gt;L368</f>
        <v>0</v>
      </c>
      <c r="N368">
        <v>43744.84</v>
      </c>
      <c r="O368" t="b">
        <f>LEN(TRIM(N368))=0</f>
        <v>0</v>
      </c>
      <c r="P368" t="b">
        <f>AND(N368&gt;0, N368&lt;1000000)</f>
        <v>1</v>
      </c>
      <c r="Q368" t="s">
        <v>349</v>
      </c>
      <c r="R368" s="2" t="b">
        <f>LEN(TRIM(Q368))=0</f>
        <v>0</v>
      </c>
      <c r="S368" s="2" t="str">
        <f>IF(RIGHT(TRIM(Q368),9)="gmail.com","OK","Typo")</f>
        <v>OK</v>
      </c>
      <c r="T368" s="2" t="str">
        <f>A368&amp;D368&amp;G368&amp;I368&amp;K368&amp;N368&amp;Q368</f>
        <v>TariqFemale36IslamabadMarketing43744.84tariq35@gmail.com</v>
      </c>
      <c r="U368" s="2" t="b">
        <f>COUNTIF(T:T,T368)&gt;1</f>
        <v>0</v>
      </c>
    </row>
    <row r="369" spans="1:21">
      <c r="A369" t="s">
        <v>339</v>
      </c>
      <c r="B369" t="b">
        <f>LEN(TRIM(A369))=0</f>
        <v>0</v>
      </c>
      <c r="C369" t="b">
        <f>COUNTIF(A:A,A369)&gt;1</f>
        <v>1</v>
      </c>
      <c r="D369" t="s">
        <v>22</v>
      </c>
      <c r="E369" t="b">
        <f>LEN(TRIM(D369))=0</f>
        <v>0</v>
      </c>
      <c r="F369" t="b">
        <f>EXACT(D369,PROPER(D369))</f>
        <v>1</v>
      </c>
      <c r="H369" t="b">
        <f>LEN(TRIM(G369))=0</f>
        <v>1</v>
      </c>
      <c r="I369" t="s">
        <v>45</v>
      </c>
      <c r="J369" t="b">
        <f>EXACT(I369,PROPER(I369))</f>
        <v>1</v>
      </c>
      <c r="K369" t="s">
        <v>24</v>
      </c>
      <c r="L369" t="str">
        <f>TRIM(K369)</f>
        <v>HR</v>
      </c>
      <c r="M369" t="b">
        <f>K369&lt;&gt;L369</f>
        <v>0</v>
      </c>
      <c r="N369">
        <v>28038.09</v>
      </c>
      <c r="O369" t="b">
        <f>LEN(TRIM(N369))=0</f>
        <v>0</v>
      </c>
      <c r="P369" t="b">
        <f>AND(N369&gt;0, N369&lt;1000000)</f>
        <v>1</v>
      </c>
      <c r="Q369" t="s">
        <v>350</v>
      </c>
      <c r="R369" s="2" t="b">
        <f>LEN(TRIM(Q369))=0</f>
        <v>0</v>
      </c>
      <c r="S369" s="2" t="str">
        <f>IF(RIGHT(TRIM(Q369),9)="gmail.com","OK","Typo")</f>
        <v>OK</v>
      </c>
      <c r="T369" s="2" t="str">
        <f>A369&amp;D369&amp;G369&amp;I369&amp;K369&amp;N369&amp;Q369</f>
        <v>TariqMalePeshawarHR28038.09tariq36@gmail.com</v>
      </c>
      <c r="U369" s="2" t="b">
        <f>COUNTIF(T:T,T369)&gt;1</f>
        <v>0</v>
      </c>
    </row>
    <row r="370" spans="1:21">
      <c r="A370" t="s">
        <v>339</v>
      </c>
      <c r="B370" t="b">
        <f>LEN(TRIM(A370))=0</f>
        <v>0</v>
      </c>
      <c r="C370" t="b">
        <f>COUNTIF(A:A,A370)&gt;1</f>
        <v>1</v>
      </c>
      <c r="D370" t="s">
        <v>22</v>
      </c>
      <c r="E370" t="b">
        <f>LEN(TRIM(D370))=0</f>
        <v>0</v>
      </c>
      <c r="F370" t="b">
        <f>EXACT(D370,PROPER(D370))</f>
        <v>1</v>
      </c>
      <c r="G370">
        <v>59</v>
      </c>
      <c r="H370" t="b">
        <f>LEN(TRIM(G370))=0</f>
        <v>0</v>
      </c>
      <c r="I370" t="s">
        <v>28</v>
      </c>
      <c r="J370" t="b">
        <f>EXACT(I370,PROPER(I370))</f>
        <v>1</v>
      </c>
      <c r="K370" t="s">
        <v>38</v>
      </c>
      <c r="L370" t="str">
        <f>TRIM(K370)</f>
        <v>Sales</v>
      </c>
      <c r="M370" t="b">
        <f>K370&lt;&gt;L370</f>
        <v>0</v>
      </c>
      <c r="N370">
        <v>72461.600000000006</v>
      </c>
      <c r="O370" t="b">
        <f>LEN(TRIM(N370))=0</f>
        <v>0</v>
      </c>
      <c r="P370" t="b">
        <f>AND(N370&gt;0, N370&lt;1000000)</f>
        <v>1</v>
      </c>
      <c r="Q370" t="s">
        <v>351</v>
      </c>
      <c r="R370" s="2" t="b">
        <f>LEN(TRIM(Q370))=0</f>
        <v>0</v>
      </c>
      <c r="S370" s="2" t="str">
        <f>IF(RIGHT(TRIM(Q370),9)="gmail.com","OK","Typo")</f>
        <v>OK</v>
      </c>
      <c r="T370" s="2" t="str">
        <f>A370&amp;D370&amp;G370&amp;I370&amp;K370&amp;N370&amp;Q370</f>
        <v>TariqMale59KarachiSales72461.6tariq37@gmail.com</v>
      </c>
      <c r="U370" s="2" t="b">
        <f>COUNTIF(T:T,T370)&gt;1</f>
        <v>0</v>
      </c>
    </row>
    <row r="371" spans="1:21">
      <c r="A371" t="s">
        <v>339</v>
      </c>
      <c r="B371" t="b">
        <f>LEN(TRIM(A371))=0</f>
        <v>0</v>
      </c>
      <c r="C371" t="b">
        <f>COUNTIF(A:A,A371)&gt;1</f>
        <v>1</v>
      </c>
      <c r="D371" t="s">
        <v>30</v>
      </c>
      <c r="E371" t="b">
        <f>LEN(TRIM(D371))=0</f>
        <v>0</v>
      </c>
      <c r="F371" t="b">
        <f>EXACT(D371,PROPER(D371))</f>
        <v>1</v>
      </c>
      <c r="H371" t="b">
        <f>LEN(TRIM(G371))=0</f>
        <v>1</v>
      </c>
      <c r="I371" t="s">
        <v>23</v>
      </c>
      <c r="J371" t="b">
        <f>EXACT(I371,PROPER(I371))</f>
        <v>1</v>
      </c>
      <c r="K371" t="s">
        <v>38</v>
      </c>
      <c r="L371" t="str">
        <f>TRIM(K371)</f>
        <v>Sales</v>
      </c>
      <c r="M371" t="b">
        <f>K371&lt;&gt;L371</f>
        <v>0</v>
      </c>
      <c r="O371" t="b">
        <f>LEN(TRIM(N371))=0</f>
        <v>1</v>
      </c>
      <c r="P371" t="b">
        <f>AND(N371&gt;0, N371&lt;1000000)</f>
        <v>0</v>
      </c>
      <c r="Q371" t="s">
        <v>352</v>
      </c>
      <c r="R371" s="2" t="b">
        <f>LEN(TRIM(Q371))=0</f>
        <v>0</v>
      </c>
      <c r="S371" s="2" t="str">
        <f>IF(RIGHT(TRIM(Q371),9)="gmail.com","OK","Typo")</f>
        <v>OK</v>
      </c>
      <c r="T371" s="2" t="str">
        <f>A371&amp;D371&amp;G371&amp;I371&amp;K371&amp;N371&amp;Q371</f>
        <v>TariqFemaleQuettaSalestariq39@gmail.com</v>
      </c>
      <c r="U371" s="2" t="b">
        <f>COUNTIF(T:T,T371)&gt;1</f>
        <v>0</v>
      </c>
    </row>
    <row r="372" spans="1:21">
      <c r="A372" t="s">
        <v>339</v>
      </c>
      <c r="B372" t="b">
        <f>LEN(TRIM(A372))=0</f>
        <v>0</v>
      </c>
      <c r="C372" t="b">
        <f>COUNTIF(A:A,A372)&gt;1</f>
        <v>1</v>
      </c>
      <c r="D372" t="s">
        <v>30</v>
      </c>
      <c r="E372" t="b">
        <f>LEN(TRIM(D372))=0</f>
        <v>0</v>
      </c>
      <c r="F372" t="b">
        <f>EXACT(D372,PROPER(D372))</f>
        <v>1</v>
      </c>
      <c r="G372">
        <v>52</v>
      </c>
      <c r="H372" t="b">
        <f>LEN(TRIM(G372))=0</f>
        <v>0</v>
      </c>
      <c r="I372" t="s">
        <v>23</v>
      </c>
      <c r="J372" t="b">
        <f>EXACT(I372,PROPER(I372))</f>
        <v>1</v>
      </c>
      <c r="K372" t="s">
        <v>29</v>
      </c>
      <c r="L372" t="str">
        <f>TRIM(K372)</f>
        <v>Finance</v>
      </c>
      <c r="M372" t="b">
        <f>K372&lt;&gt;L372</f>
        <v>0</v>
      </c>
      <c r="N372">
        <v>86860.1</v>
      </c>
      <c r="O372" t="b">
        <f>LEN(TRIM(N372))=0</f>
        <v>0</v>
      </c>
      <c r="P372" t="b">
        <f>AND(N372&gt;0, N372&lt;1000000)</f>
        <v>1</v>
      </c>
      <c r="Q372" t="s">
        <v>353</v>
      </c>
      <c r="R372" s="2" t="b">
        <f>LEN(TRIM(Q372))=0</f>
        <v>0</v>
      </c>
      <c r="S372" s="2" t="str">
        <f>IF(RIGHT(TRIM(Q372),9)="gmail.com","OK","Typo")</f>
        <v>OK</v>
      </c>
      <c r="T372" s="2" t="str">
        <f>A372&amp;D372&amp;G372&amp;I372&amp;K372&amp;N372&amp;Q372</f>
        <v>TariqFemale52QuettaFinance86860.1tariq44@gmail.com</v>
      </c>
      <c r="U372" s="2" t="b">
        <f>COUNTIF(T:T,T372)&gt;1</f>
        <v>0</v>
      </c>
    </row>
    <row r="373" spans="1:21">
      <c r="A373" t="s">
        <v>339</v>
      </c>
      <c r="B373" t="b">
        <f>LEN(TRIM(A373))=0</f>
        <v>0</v>
      </c>
      <c r="C373" t="b">
        <f>COUNTIF(A:A,A373)&gt;1</f>
        <v>1</v>
      </c>
      <c r="D373" t="s">
        <v>30</v>
      </c>
      <c r="E373" t="b">
        <f>LEN(TRIM(D373))=0</f>
        <v>0</v>
      </c>
      <c r="F373" t="b">
        <f>EXACT(D373,PROPER(D373))</f>
        <v>1</v>
      </c>
      <c r="H373" t="b">
        <f>LEN(TRIM(G373))=0</f>
        <v>1</v>
      </c>
      <c r="I373" t="s">
        <v>28</v>
      </c>
      <c r="J373" t="b">
        <f>EXACT(I373,PROPER(I373))</f>
        <v>1</v>
      </c>
      <c r="K373" t="s">
        <v>24</v>
      </c>
      <c r="L373" t="str">
        <f>TRIM(K373)</f>
        <v>HR</v>
      </c>
      <c r="M373" t="b">
        <f>K373&lt;&gt;L373</f>
        <v>0</v>
      </c>
      <c r="O373" t="b">
        <f>LEN(TRIM(N373))=0</f>
        <v>1</v>
      </c>
      <c r="P373" t="b">
        <f>AND(N373&gt;0, N373&lt;1000000)</f>
        <v>0</v>
      </c>
      <c r="Q373" t="s">
        <v>354</v>
      </c>
      <c r="R373" s="2" t="b">
        <f>LEN(TRIM(Q373))=0</f>
        <v>0</v>
      </c>
      <c r="S373" s="2" t="str">
        <f>IF(RIGHT(TRIM(Q373),9)="gmail.com","OK","Typo")</f>
        <v>OK</v>
      </c>
      <c r="T373" s="2" t="str">
        <f>A373&amp;D373&amp;G373&amp;I373&amp;K373&amp;N373&amp;Q373</f>
        <v>TariqFemaleKarachiHRtariq45@gmail.com</v>
      </c>
      <c r="U373" s="2" t="b">
        <f>COUNTIF(T:T,T373)&gt;1</f>
        <v>0</v>
      </c>
    </row>
    <row r="374" spans="1:21">
      <c r="A374" t="s">
        <v>339</v>
      </c>
      <c r="B374" t="b">
        <f>LEN(TRIM(A374))=0</f>
        <v>0</v>
      </c>
      <c r="C374" t="b">
        <f>COUNTIF(A:A,A374)&gt;1</f>
        <v>1</v>
      </c>
      <c r="D374" t="s">
        <v>22</v>
      </c>
      <c r="E374" t="b">
        <f>LEN(TRIM(D374))=0</f>
        <v>0</v>
      </c>
      <c r="F374" t="b">
        <f>EXACT(D374,PROPER(D374))</f>
        <v>1</v>
      </c>
      <c r="G374">
        <v>43</v>
      </c>
      <c r="H374" t="b">
        <f>LEN(TRIM(G374))=0</f>
        <v>0</v>
      </c>
      <c r="I374" t="s">
        <v>23</v>
      </c>
      <c r="J374" t="b">
        <f>EXACT(I374,PROPER(I374))</f>
        <v>1</v>
      </c>
      <c r="K374" t="s">
        <v>29</v>
      </c>
      <c r="L374" t="str">
        <f>TRIM(K374)</f>
        <v>Finance</v>
      </c>
      <c r="M374" t="b">
        <f>K374&lt;&gt;L374</f>
        <v>0</v>
      </c>
      <c r="O374" t="b">
        <f>LEN(TRIM(N374))=0</f>
        <v>1</v>
      </c>
      <c r="P374" t="b">
        <f>AND(N374&gt;0, N374&lt;1000000)</f>
        <v>0</v>
      </c>
      <c r="Q374" t="s">
        <v>355</v>
      </c>
      <c r="R374" s="2" t="b">
        <f>LEN(TRIM(Q374))=0</f>
        <v>0</v>
      </c>
      <c r="S374" s="2" t="str">
        <f>IF(RIGHT(TRIM(Q374),9)="gmail.com","OK","Typo")</f>
        <v>OK</v>
      </c>
      <c r="T374" s="2" t="str">
        <f>A374&amp;D374&amp;G374&amp;I374&amp;K374&amp;N374&amp;Q374</f>
        <v>TariqMale43QuettaFinancetariq47@gmail.com</v>
      </c>
      <c r="U374" s="2" t="b">
        <f>COUNTIF(T:T,T374)&gt;1</f>
        <v>0</v>
      </c>
    </row>
    <row r="375" spans="1:21">
      <c r="A375" t="s">
        <v>339</v>
      </c>
      <c r="B375" t="b">
        <f>LEN(TRIM(A375))=0</f>
        <v>0</v>
      </c>
      <c r="C375" t="b">
        <f>COUNTIF(A:A,A375)&gt;1</f>
        <v>1</v>
      </c>
      <c r="D375" t="s">
        <v>22</v>
      </c>
      <c r="E375" t="b">
        <f>LEN(TRIM(D375))=0</f>
        <v>0</v>
      </c>
      <c r="F375" t="b">
        <f>EXACT(D375,PROPER(D375))</f>
        <v>1</v>
      </c>
      <c r="G375">
        <v>56</v>
      </c>
      <c r="H375" t="b">
        <f>LEN(TRIM(G375))=0</f>
        <v>0</v>
      </c>
      <c r="I375" t="s">
        <v>37</v>
      </c>
      <c r="J375" t="b">
        <f>EXACT(I375,PROPER(I375))</f>
        <v>1</v>
      </c>
      <c r="K375" t="s">
        <v>26</v>
      </c>
      <c r="L375" t="str">
        <f>TRIM(K375)</f>
        <v>HR</v>
      </c>
      <c r="M375" t="b">
        <f>K375&lt;&gt;L375</f>
        <v>1</v>
      </c>
      <c r="O375" t="b">
        <f>LEN(TRIM(N375))=0</f>
        <v>1</v>
      </c>
      <c r="P375" t="b">
        <f>AND(N375&gt;0, N375&lt;1000000)</f>
        <v>0</v>
      </c>
      <c r="Q375" t="s">
        <v>356</v>
      </c>
      <c r="R375" s="2" t="b">
        <f>LEN(TRIM(Q375))=0</f>
        <v>0</v>
      </c>
      <c r="S375" s="2" t="str">
        <f>IF(RIGHT(TRIM(Q375),9)="gmail.com","OK","Typo")</f>
        <v>OK</v>
      </c>
      <c r="T375" s="2" t="str">
        <f>A375&amp;D375&amp;G375&amp;I375&amp;K375&amp;N375&amp;Q375</f>
        <v>TariqMale56Islamabad HR tariq56@gmail.com</v>
      </c>
      <c r="U375" s="2" t="b">
        <f>COUNTIF(T:T,T375)&gt;1</f>
        <v>0</v>
      </c>
    </row>
    <row r="376" spans="1:21">
      <c r="A376" t="s">
        <v>339</v>
      </c>
      <c r="B376" t="b">
        <f>LEN(TRIM(A376))=0</f>
        <v>0</v>
      </c>
      <c r="C376" t="b">
        <f>COUNTIF(A:A,A376)&gt;1</f>
        <v>1</v>
      </c>
      <c r="D376" t="s">
        <v>22</v>
      </c>
      <c r="E376" t="b">
        <f>LEN(TRIM(D376))=0</f>
        <v>0</v>
      </c>
      <c r="F376" t="b">
        <f>EXACT(D376,PROPER(D376))</f>
        <v>1</v>
      </c>
      <c r="H376" t="b">
        <f>LEN(TRIM(G376))=0</f>
        <v>1</v>
      </c>
      <c r="I376" t="s">
        <v>45</v>
      </c>
      <c r="J376" t="b">
        <f>EXACT(I376,PROPER(I376))</f>
        <v>1</v>
      </c>
      <c r="K376" t="s">
        <v>29</v>
      </c>
      <c r="L376" t="str">
        <f>TRIM(K376)</f>
        <v>Finance</v>
      </c>
      <c r="M376" t="b">
        <f>K376&lt;&gt;L376</f>
        <v>0</v>
      </c>
      <c r="O376" t="b">
        <f>LEN(TRIM(N376))=0</f>
        <v>1</v>
      </c>
      <c r="P376" t="b">
        <f>AND(N376&gt;0, N376&lt;1000000)</f>
        <v>0</v>
      </c>
      <c r="Q376" t="s">
        <v>357</v>
      </c>
      <c r="R376" s="2" t="b">
        <f>LEN(TRIM(Q376))=0</f>
        <v>0</v>
      </c>
      <c r="S376" s="2" t="str">
        <f>IF(RIGHT(TRIM(Q376),9)="gmail.com","OK","Typo")</f>
        <v>OK</v>
      </c>
      <c r="T376" s="2" t="str">
        <f>A376&amp;D376&amp;G376&amp;I376&amp;K376&amp;N376&amp;Q376</f>
        <v>TariqMalePeshawarFinancetariq57@gmail.com</v>
      </c>
      <c r="U376" s="2" t="b">
        <f>COUNTIF(T:T,T376)&gt;1</f>
        <v>0</v>
      </c>
    </row>
    <row r="377" spans="1:21">
      <c r="A377" t="s">
        <v>339</v>
      </c>
      <c r="B377" t="b">
        <f>LEN(TRIM(A377))=0</f>
        <v>0</v>
      </c>
      <c r="C377" t="b">
        <f>COUNTIF(A:A,A377)&gt;1</f>
        <v>1</v>
      </c>
      <c r="D377" t="s">
        <v>22</v>
      </c>
      <c r="E377" t="b">
        <f>LEN(TRIM(D377))=0</f>
        <v>0</v>
      </c>
      <c r="F377" t="b">
        <f>EXACT(D377,PROPER(D377))</f>
        <v>1</v>
      </c>
      <c r="G377">
        <v>24</v>
      </c>
      <c r="H377" t="b">
        <f>LEN(TRIM(G377))=0</f>
        <v>0</v>
      </c>
      <c r="I377" t="s">
        <v>52</v>
      </c>
      <c r="J377" t="b">
        <f>EXACT(I377,PROPER(I377))</f>
        <v>0</v>
      </c>
      <c r="K377" t="s">
        <v>35</v>
      </c>
      <c r="L377" t="str">
        <f>TRIM(K377)</f>
        <v>Marketing</v>
      </c>
      <c r="M377" t="b">
        <f>K377&lt;&gt;L377</f>
        <v>0</v>
      </c>
      <c r="N377">
        <v>37658.76</v>
      </c>
      <c r="O377" t="b">
        <f>LEN(TRIM(N377))=0</f>
        <v>0</v>
      </c>
      <c r="P377" t="b">
        <f>AND(N377&gt;0, N377&lt;1000000)</f>
        <v>1</v>
      </c>
      <c r="Q377" t="s">
        <v>358</v>
      </c>
      <c r="R377" s="2" t="b">
        <f>LEN(TRIM(Q377))=0</f>
        <v>0</v>
      </c>
      <c r="S377" s="2" t="str">
        <f>IF(RIGHT(TRIM(Q377),9)="gmail.com","OK","Typo")</f>
        <v>OK</v>
      </c>
      <c r="T377" s="2" t="str">
        <f>A377&amp;D377&amp;G377&amp;I377&amp;K377&amp;N377&amp;Q377</f>
        <v>TariqMale24lahoreMarketing37658.76tariq58@gmail.com</v>
      </c>
      <c r="U377" s="2" t="b">
        <f>COUNTIF(T:T,T377)&gt;1</f>
        <v>0</v>
      </c>
    </row>
    <row r="378" spans="1:21">
      <c r="A378" t="s">
        <v>339</v>
      </c>
      <c r="B378" t="b">
        <f>LEN(TRIM(A378))=0</f>
        <v>0</v>
      </c>
      <c r="C378" t="b">
        <f>COUNTIF(A:A,A378)&gt;1</f>
        <v>1</v>
      </c>
      <c r="D378" t="s">
        <v>30</v>
      </c>
      <c r="E378" t="b">
        <f>LEN(TRIM(D378))=0</f>
        <v>0</v>
      </c>
      <c r="F378" t="b">
        <f>EXACT(D378,PROPER(D378))</f>
        <v>1</v>
      </c>
      <c r="G378">
        <v>45</v>
      </c>
      <c r="H378" t="b">
        <f>LEN(TRIM(G378))=0</f>
        <v>0</v>
      </c>
      <c r="I378" t="s">
        <v>32</v>
      </c>
      <c r="J378" t="b">
        <f>EXACT(I378,PROPER(I378))</f>
        <v>1</v>
      </c>
      <c r="K378" t="s">
        <v>35</v>
      </c>
      <c r="L378" t="str">
        <f>TRIM(K378)</f>
        <v>Marketing</v>
      </c>
      <c r="M378" t="b">
        <f>K378&lt;&gt;L378</f>
        <v>0</v>
      </c>
      <c r="O378" t="b">
        <f>LEN(TRIM(N378))=0</f>
        <v>1</v>
      </c>
      <c r="P378" t="b">
        <f>AND(N378&gt;0, N378&lt;1000000)</f>
        <v>0</v>
      </c>
      <c r="Q378" t="s">
        <v>359</v>
      </c>
      <c r="R378" s="2" t="b">
        <f>LEN(TRIM(Q378))=0</f>
        <v>0</v>
      </c>
      <c r="S378" s="2" t="str">
        <f>IF(RIGHT(TRIM(Q378),9)="gmail.com","OK","Typo")</f>
        <v>OK</v>
      </c>
      <c r="T378" s="2" t="str">
        <f>A378&amp;D378&amp;G378&amp;I378&amp;K378&amp;N378&amp;Q378</f>
        <v>TariqFemale45LahoreMarketingtariq59@gmail.com</v>
      </c>
      <c r="U378" s="2" t="b">
        <f>COUNTIF(T:T,T378)&gt;1</f>
        <v>0</v>
      </c>
    </row>
    <row r="379" spans="1:21">
      <c r="A379" t="s">
        <v>339</v>
      </c>
      <c r="B379" t="b">
        <f>LEN(TRIM(A379))=0</f>
        <v>0</v>
      </c>
      <c r="C379" t="b">
        <f>COUNTIF(A:A,A379)&gt;1</f>
        <v>1</v>
      </c>
      <c r="D379" t="s">
        <v>22</v>
      </c>
      <c r="E379" t="b">
        <f>LEN(TRIM(D379))=0</f>
        <v>0</v>
      </c>
      <c r="F379" t="b">
        <f>EXACT(D379,PROPER(D379))</f>
        <v>1</v>
      </c>
      <c r="H379" t="b">
        <f>LEN(TRIM(G379))=0</f>
        <v>1</v>
      </c>
      <c r="I379" t="s">
        <v>28</v>
      </c>
      <c r="J379" t="b">
        <f>EXACT(I379,PROPER(I379))</f>
        <v>1</v>
      </c>
      <c r="K379" t="s">
        <v>24</v>
      </c>
      <c r="L379" t="str">
        <f>TRIM(K379)</f>
        <v>HR</v>
      </c>
      <c r="M379" t="b">
        <f>K379&lt;&gt;L379</f>
        <v>0</v>
      </c>
      <c r="N379">
        <v>90433.08</v>
      </c>
      <c r="O379" t="b">
        <f>LEN(TRIM(N379))=0</f>
        <v>0</v>
      </c>
      <c r="P379" t="b">
        <f>AND(N379&gt;0, N379&lt;1000000)</f>
        <v>1</v>
      </c>
      <c r="Q379" t="s">
        <v>360</v>
      </c>
      <c r="R379" s="2" t="b">
        <f>LEN(TRIM(Q379))=0</f>
        <v>0</v>
      </c>
      <c r="S379" s="2" t="str">
        <f>IF(RIGHT(TRIM(Q379),9)="gmail.com","OK","Typo")</f>
        <v>OK</v>
      </c>
      <c r="T379" s="2" t="str">
        <f>A379&amp;D379&amp;G379&amp;I379&amp;K379&amp;N379&amp;Q379</f>
        <v>TariqMaleKarachiHR90433.08tariq60@gmail.com</v>
      </c>
      <c r="U379" s="2" t="b">
        <f>COUNTIF(T:T,T379)&gt;1</f>
        <v>0</v>
      </c>
    </row>
    <row r="380" spans="1:21">
      <c r="A380" t="s">
        <v>339</v>
      </c>
      <c r="B380" t="b">
        <f>LEN(TRIM(A380))=0</f>
        <v>0</v>
      </c>
      <c r="C380" t="b">
        <f>COUNTIF(A:A,A380)&gt;1</f>
        <v>1</v>
      </c>
      <c r="D380" t="s">
        <v>30</v>
      </c>
      <c r="E380" t="b">
        <f>LEN(TRIM(D380))=0</f>
        <v>0</v>
      </c>
      <c r="F380" t="b">
        <f>EXACT(D380,PROPER(D380))</f>
        <v>1</v>
      </c>
      <c r="G380">
        <v>25</v>
      </c>
      <c r="H380" t="b">
        <f>LEN(TRIM(G380))=0</f>
        <v>0</v>
      </c>
      <c r="I380" t="s">
        <v>45</v>
      </c>
      <c r="J380" t="b">
        <f>EXACT(I380,PROPER(I380))</f>
        <v>1</v>
      </c>
      <c r="K380" t="s">
        <v>29</v>
      </c>
      <c r="L380" t="str">
        <f>TRIM(K380)</f>
        <v>Finance</v>
      </c>
      <c r="M380" t="b">
        <f>K380&lt;&gt;L380</f>
        <v>0</v>
      </c>
      <c r="N380">
        <v>27878.17</v>
      </c>
      <c r="O380" t="b">
        <f>LEN(TRIM(N380))=0</f>
        <v>0</v>
      </c>
      <c r="P380" t="b">
        <f>AND(N380&gt;0, N380&lt;1000000)</f>
        <v>1</v>
      </c>
      <c r="Q380" t="s">
        <v>361</v>
      </c>
      <c r="R380" s="2" t="b">
        <f>LEN(TRIM(Q380))=0</f>
        <v>0</v>
      </c>
      <c r="S380" s="2" t="str">
        <f>IF(RIGHT(TRIM(Q380),9)="gmail.com","OK","Typo")</f>
        <v>OK</v>
      </c>
      <c r="T380" s="2" t="str">
        <f>A380&amp;D380&amp;G380&amp;I380&amp;K380&amp;N380&amp;Q380</f>
        <v>TariqFemale25PeshawarFinance27878.17tariq61@gmail.com</v>
      </c>
      <c r="U380" s="2" t="b">
        <f>COUNTIF(T:T,T380)&gt;1</f>
        <v>0</v>
      </c>
    </row>
    <row r="381" spans="1:21">
      <c r="A381" t="s">
        <v>339</v>
      </c>
      <c r="B381" t="b">
        <f>LEN(TRIM(A381))=0</f>
        <v>0</v>
      </c>
      <c r="C381" t="b">
        <f>COUNTIF(A:A,A381)&gt;1</f>
        <v>1</v>
      </c>
      <c r="D381" t="s">
        <v>22</v>
      </c>
      <c r="E381" t="b">
        <f>LEN(TRIM(D381))=0</f>
        <v>0</v>
      </c>
      <c r="F381" t="b">
        <f>EXACT(D381,PROPER(D381))</f>
        <v>1</v>
      </c>
      <c r="H381" t="b">
        <f>LEN(TRIM(G381))=0</f>
        <v>1</v>
      </c>
      <c r="I381" t="s">
        <v>32</v>
      </c>
      <c r="J381" t="b">
        <f>EXACT(I381,PROPER(I381))</f>
        <v>1</v>
      </c>
      <c r="K381" t="s">
        <v>29</v>
      </c>
      <c r="L381" t="str">
        <f>TRIM(K381)</f>
        <v>Finance</v>
      </c>
      <c r="M381" t="b">
        <f>K381&lt;&gt;L381</f>
        <v>0</v>
      </c>
      <c r="O381" t="b">
        <f>LEN(TRIM(N381))=0</f>
        <v>1</v>
      </c>
      <c r="P381" t="b">
        <f>AND(N381&gt;0, N381&lt;1000000)</f>
        <v>0</v>
      </c>
      <c r="Q381" t="s">
        <v>361</v>
      </c>
      <c r="R381" s="2" t="b">
        <f>LEN(TRIM(Q381))=0</f>
        <v>0</v>
      </c>
      <c r="S381" s="2" t="str">
        <f>IF(RIGHT(TRIM(Q381),9)="gmail.com","OK","Typo")</f>
        <v>OK</v>
      </c>
      <c r="T381" s="2" t="str">
        <f>A381&amp;D381&amp;G381&amp;I381&amp;K381&amp;N381&amp;Q381</f>
        <v>TariqMaleLahoreFinancetariq61@gmail.com</v>
      </c>
      <c r="U381" s="2" t="b">
        <f>COUNTIF(T:T,T381)&gt;1</f>
        <v>0</v>
      </c>
    </row>
    <row r="382" spans="1:21">
      <c r="A382" t="s">
        <v>339</v>
      </c>
      <c r="B382" t="b">
        <f>LEN(TRIM(A382))=0</f>
        <v>0</v>
      </c>
      <c r="C382" t="b">
        <f>COUNTIF(A:A,A382)&gt;1</f>
        <v>1</v>
      </c>
      <c r="D382" t="s">
        <v>22</v>
      </c>
      <c r="E382" t="b">
        <f>LEN(TRIM(D382))=0</f>
        <v>0</v>
      </c>
      <c r="F382" t="b">
        <f>EXACT(D382,PROPER(D382))</f>
        <v>1</v>
      </c>
      <c r="H382" t="b">
        <f>LEN(TRIM(G382))=0</f>
        <v>1</v>
      </c>
      <c r="I382" t="s">
        <v>37</v>
      </c>
      <c r="J382" t="b">
        <f>EXACT(I382,PROPER(I382))</f>
        <v>1</v>
      </c>
      <c r="K382" t="s">
        <v>29</v>
      </c>
      <c r="L382" t="str">
        <f>TRIM(K382)</f>
        <v>Finance</v>
      </c>
      <c r="M382" t="b">
        <f>K382&lt;&gt;L382</f>
        <v>0</v>
      </c>
      <c r="N382">
        <v>122337.81</v>
      </c>
      <c r="O382" t="b">
        <f>LEN(TRIM(N382))=0</f>
        <v>0</v>
      </c>
      <c r="P382" t="b">
        <f>AND(N382&gt;0, N382&lt;1000000)</f>
        <v>1</v>
      </c>
      <c r="Q382" t="s">
        <v>362</v>
      </c>
      <c r="R382" s="2" t="b">
        <f>LEN(TRIM(Q382))=0</f>
        <v>0</v>
      </c>
      <c r="S382" s="2" t="str">
        <f>IF(RIGHT(TRIM(Q382),9)="gmail.com","OK","Typo")</f>
        <v>OK</v>
      </c>
      <c r="T382" s="2" t="str">
        <f>A382&amp;D382&amp;G382&amp;I382&amp;K382&amp;N382&amp;Q382</f>
        <v>TariqMaleIslamabadFinance122337.81tariq64@gmail.com</v>
      </c>
      <c r="U382" s="2" t="b">
        <f>COUNTIF(T:T,T382)&gt;1</f>
        <v>0</v>
      </c>
    </row>
    <row r="383" spans="1:21">
      <c r="A383" t="s">
        <v>339</v>
      </c>
      <c r="B383" t="b">
        <f>LEN(TRIM(A383))=0</f>
        <v>0</v>
      </c>
      <c r="C383" t="b">
        <f>COUNTIF(A:A,A383)&gt;1</f>
        <v>1</v>
      </c>
      <c r="D383" t="s">
        <v>30</v>
      </c>
      <c r="E383" t="b">
        <f>LEN(TRIM(D383))=0</f>
        <v>0</v>
      </c>
      <c r="F383" t="b">
        <f>EXACT(D383,PROPER(D383))</f>
        <v>1</v>
      </c>
      <c r="G383">
        <v>27</v>
      </c>
      <c r="H383" t="b">
        <f>LEN(TRIM(G383))=0</f>
        <v>0</v>
      </c>
      <c r="I383" t="s">
        <v>28</v>
      </c>
      <c r="J383" t="b">
        <f>EXACT(I383,PROPER(I383))</f>
        <v>1</v>
      </c>
      <c r="K383" t="s">
        <v>38</v>
      </c>
      <c r="L383" t="str">
        <f>TRIM(K383)</f>
        <v>Sales</v>
      </c>
      <c r="M383" t="b">
        <f>K383&lt;&gt;L383</f>
        <v>0</v>
      </c>
      <c r="O383" t="b">
        <f>LEN(TRIM(N383))=0</f>
        <v>1</v>
      </c>
      <c r="P383" t="b">
        <f>AND(N383&gt;0, N383&lt;1000000)</f>
        <v>0</v>
      </c>
      <c r="Q383" t="s">
        <v>363</v>
      </c>
      <c r="R383" s="2" t="b">
        <f>LEN(TRIM(Q383))=0</f>
        <v>0</v>
      </c>
      <c r="S383" s="2" t="str">
        <f>IF(RIGHT(TRIM(Q383),9)="gmail.com","OK","Typo")</f>
        <v>OK</v>
      </c>
      <c r="T383" s="2" t="str">
        <f>A383&amp;D383&amp;G383&amp;I383&amp;K383&amp;N383&amp;Q383</f>
        <v>TariqFemale27KarachiSalestariq65@gmail.com</v>
      </c>
      <c r="U383" s="2" t="b">
        <f>COUNTIF(T:T,T383)&gt;1</f>
        <v>0</v>
      </c>
    </row>
    <row r="384" spans="1:21">
      <c r="A384" t="s">
        <v>339</v>
      </c>
      <c r="B384" t="b">
        <f>LEN(TRIM(A384))=0</f>
        <v>0</v>
      </c>
      <c r="C384" t="b">
        <f>COUNTIF(A:A,A384)&gt;1</f>
        <v>1</v>
      </c>
      <c r="D384" t="s">
        <v>30</v>
      </c>
      <c r="E384" t="b">
        <f>LEN(TRIM(D384))=0</f>
        <v>0</v>
      </c>
      <c r="F384" t="b">
        <f>EXACT(D384,PROPER(D384))</f>
        <v>1</v>
      </c>
      <c r="H384" t="b">
        <f>LEN(TRIM(G384))=0</f>
        <v>1</v>
      </c>
      <c r="I384" t="s">
        <v>23</v>
      </c>
      <c r="J384" t="b">
        <f>EXACT(I384,PROPER(I384))</f>
        <v>1</v>
      </c>
      <c r="K384" t="s">
        <v>42</v>
      </c>
      <c r="L384" t="str">
        <f>TRIM(K384)</f>
        <v>IT</v>
      </c>
      <c r="M384" t="b">
        <f>K384&lt;&gt;L384</f>
        <v>0</v>
      </c>
      <c r="N384">
        <v>31187.21</v>
      </c>
      <c r="O384" t="b">
        <f>LEN(TRIM(N384))=0</f>
        <v>0</v>
      </c>
      <c r="P384" t="b">
        <f>AND(N384&gt;0, N384&lt;1000000)</f>
        <v>1</v>
      </c>
      <c r="Q384" t="s">
        <v>364</v>
      </c>
      <c r="R384" s="2" t="b">
        <f>LEN(TRIM(Q384))=0</f>
        <v>0</v>
      </c>
      <c r="S384" s="2" t="str">
        <f>IF(RIGHT(TRIM(Q384),9)="gmail.com","OK","Typo")</f>
        <v>OK</v>
      </c>
      <c r="T384" s="2" t="str">
        <f>A384&amp;D384&amp;G384&amp;I384&amp;K384&amp;N384&amp;Q384</f>
        <v>TariqFemaleQuettaIT31187.21tariq67@gmail.com</v>
      </c>
      <c r="U384" s="2" t="b">
        <f>COUNTIF(T:T,T384)&gt;1</f>
        <v>0</v>
      </c>
    </row>
    <row r="385" spans="1:21">
      <c r="A385" t="s">
        <v>339</v>
      </c>
      <c r="B385" t="b">
        <f>LEN(TRIM(A385))=0</f>
        <v>0</v>
      </c>
      <c r="C385" t="b">
        <f>COUNTIF(A:A,A385)&gt;1</f>
        <v>1</v>
      </c>
      <c r="D385" t="s">
        <v>22</v>
      </c>
      <c r="E385" t="b">
        <f>LEN(TRIM(D385))=0</f>
        <v>0</v>
      </c>
      <c r="F385" t="b">
        <f>EXACT(D385,PROPER(D385))</f>
        <v>1</v>
      </c>
      <c r="H385" t="b">
        <f>LEN(TRIM(G385))=0</f>
        <v>1</v>
      </c>
      <c r="I385" t="s">
        <v>45</v>
      </c>
      <c r="J385" t="b">
        <f>EXACT(I385,PROPER(I385))</f>
        <v>1</v>
      </c>
      <c r="K385" t="s">
        <v>38</v>
      </c>
      <c r="L385" t="str">
        <f>TRIM(K385)</f>
        <v>Sales</v>
      </c>
      <c r="M385" t="b">
        <f>K385&lt;&gt;L385</f>
        <v>0</v>
      </c>
      <c r="N385">
        <v>137976.26</v>
      </c>
      <c r="O385" t="b">
        <f>LEN(TRIM(N385))=0</f>
        <v>0</v>
      </c>
      <c r="P385" t="b">
        <f>AND(N385&gt;0, N385&lt;1000000)</f>
        <v>1</v>
      </c>
      <c r="Q385" t="s">
        <v>365</v>
      </c>
      <c r="R385" s="2" t="b">
        <f>LEN(TRIM(Q385))=0</f>
        <v>0</v>
      </c>
      <c r="S385" s="2" t="str">
        <f>IF(RIGHT(TRIM(Q385),9)="gmail.com","OK","Typo")</f>
        <v>OK</v>
      </c>
      <c r="T385" s="2" t="str">
        <f>A385&amp;D385&amp;G385&amp;I385&amp;K385&amp;N385&amp;Q385</f>
        <v>TariqMalePeshawarSales137976.26tariq69@gmail.com</v>
      </c>
      <c r="U385" s="2" t="b">
        <f>COUNTIF(T:T,T385)&gt;1</f>
        <v>0</v>
      </c>
    </row>
    <row r="386" spans="1:21">
      <c r="A386" t="s">
        <v>339</v>
      </c>
      <c r="B386" t="b">
        <f>LEN(TRIM(A386))=0</f>
        <v>0</v>
      </c>
      <c r="C386" t="b">
        <f>COUNTIF(A:A,A386)&gt;1</f>
        <v>1</v>
      </c>
      <c r="D386" t="s">
        <v>30</v>
      </c>
      <c r="E386" t="b">
        <f>LEN(TRIM(D386))=0</f>
        <v>0</v>
      </c>
      <c r="F386" t="b">
        <f>EXACT(D386,PROPER(D386))</f>
        <v>1</v>
      </c>
      <c r="G386">
        <v>45</v>
      </c>
      <c r="H386" t="b">
        <f>LEN(TRIM(G386))=0</f>
        <v>0</v>
      </c>
      <c r="I386" t="s">
        <v>28</v>
      </c>
      <c r="J386" t="b">
        <f>EXACT(I386,PROPER(I386))</f>
        <v>1</v>
      </c>
      <c r="K386" t="s">
        <v>24</v>
      </c>
      <c r="L386" t="str">
        <f>TRIM(K386)</f>
        <v>HR</v>
      </c>
      <c r="M386" t="b">
        <f>K386&lt;&gt;L386</f>
        <v>0</v>
      </c>
      <c r="O386" t="b">
        <f>LEN(TRIM(N386))=0</f>
        <v>1</v>
      </c>
      <c r="P386" t="b">
        <f>AND(N386&gt;0, N386&lt;1000000)</f>
        <v>0</v>
      </c>
      <c r="Q386" t="s">
        <v>365</v>
      </c>
      <c r="R386" s="2" t="b">
        <f>LEN(TRIM(Q386))=0</f>
        <v>0</v>
      </c>
      <c r="S386" s="2" t="str">
        <f>IF(RIGHT(TRIM(Q386),9)="gmail.com","OK","Typo")</f>
        <v>OK</v>
      </c>
      <c r="T386" s="2" t="str">
        <f>A386&amp;D386&amp;G386&amp;I386&amp;K386&amp;N386&amp;Q386</f>
        <v>TariqFemale45KarachiHRtariq69@gmail.com</v>
      </c>
      <c r="U386" s="2" t="b">
        <f>COUNTIF(T:T,T386)&gt;1</f>
        <v>0</v>
      </c>
    </row>
    <row r="387" spans="1:21">
      <c r="A387" t="s">
        <v>339</v>
      </c>
      <c r="B387" t="b">
        <f>LEN(TRIM(A387))=0</f>
        <v>0</v>
      </c>
      <c r="C387" t="b">
        <f>COUNTIF(A:A,A387)&gt;1</f>
        <v>1</v>
      </c>
      <c r="D387" t="s">
        <v>30</v>
      </c>
      <c r="E387" t="b">
        <f>LEN(TRIM(D387))=0</f>
        <v>0</v>
      </c>
      <c r="F387" t="b">
        <f>EXACT(D387,PROPER(D387))</f>
        <v>1</v>
      </c>
      <c r="G387">
        <v>30</v>
      </c>
      <c r="H387" t="b">
        <f>LEN(TRIM(G387))=0</f>
        <v>0</v>
      </c>
      <c r="I387" t="s">
        <v>45</v>
      </c>
      <c r="J387" t="b">
        <f>EXACT(I387,PROPER(I387))</f>
        <v>1</v>
      </c>
      <c r="K387" t="s">
        <v>60</v>
      </c>
      <c r="L387" t="str">
        <f>TRIM(K387)</f>
        <v>Finance</v>
      </c>
      <c r="M387" t="b">
        <f>K387&lt;&gt;L387</f>
        <v>1</v>
      </c>
      <c r="O387" t="b">
        <f>LEN(TRIM(N387))=0</f>
        <v>1</v>
      </c>
      <c r="P387" t="b">
        <f>AND(N387&gt;0, N387&lt;1000000)</f>
        <v>0</v>
      </c>
      <c r="Q387" t="s">
        <v>366</v>
      </c>
      <c r="R387" s="2" t="b">
        <f>LEN(TRIM(Q387))=0</f>
        <v>0</v>
      </c>
      <c r="S387" s="2" t="str">
        <f>IF(RIGHT(TRIM(Q387),9)="gmail.com","OK","Typo")</f>
        <v>OK</v>
      </c>
      <c r="T387" s="2" t="str">
        <f>A387&amp;D387&amp;G387&amp;I387&amp;K387&amp;N387&amp;Q387</f>
        <v>TariqFemale30Peshawar Finance tariq7@gmail.com</v>
      </c>
      <c r="U387" s="2" t="b">
        <f>COUNTIF(T:T,T387)&gt;1</f>
        <v>0</v>
      </c>
    </row>
    <row r="388" spans="1:21">
      <c r="A388" t="s">
        <v>339</v>
      </c>
      <c r="B388" t="b">
        <f>LEN(TRIM(A388))=0</f>
        <v>0</v>
      </c>
      <c r="C388" t="b">
        <f>COUNTIF(A:A,A388)&gt;1</f>
        <v>1</v>
      </c>
      <c r="D388" t="s">
        <v>22</v>
      </c>
      <c r="E388" t="b">
        <f>LEN(TRIM(D388))=0</f>
        <v>0</v>
      </c>
      <c r="F388" t="b">
        <f>EXACT(D388,PROPER(D388))</f>
        <v>1</v>
      </c>
      <c r="H388" t="b">
        <f>LEN(TRIM(G388))=0</f>
        <v>1</v>
      </c>
      <c r="I388" t="s">
        <v>45</v>
      </c>
      <c r="J388" t="b">
        <f>EXACT(I388,PROPER(I388))</f>
        <v>1</v>
      </c>
      <c r="K388" t="s">
        <v>24</v>
      </c>
      <c r="L388" t="str">
        <f>TRIM(K388)</f>
        <v>HR</v>
      </c>
      <c r="M388" t="b">
        <f>K388&lt;&gt;L388</f>
        <v>0</v>
      </c>
      <c r="O388" t="b">
        <f>LEN(TRIM(N388))=0</f>
        <v>1</v>
      </c>
      <c r="P388" t="b">
        <f>AND(N388&gt;0, N388&lt;1000000)</f>
        <v>0</v>
      </c>
      <c r="Q388" t="s">
        <v>367</v>
      </c>
      <c r="R388" s="2" t="b">
        <f>LEN(TRIM(Q388))=0</f>
        <v>0</v>
      </c>
      <c r="S388" s="2" t="str">
        <f>IF(RIGHT(TRIM(Q388),9)="gmail.com","OK","Typo")</f>
        <v>OK</v>
      </c>
      <c r="T388" s="2" t="str">
        <f>A388&amp;D388&amp;G388&amp;I388&amp;K388&amp;N388&amp;Q388</f>
        <v>TariqMalePeshawarHRtariq70@gmail.com</v>
      </c>
      <c r="U388" s="2" t="b">
        <f>COUNTIF(T:T,T388)&gt;1</f>
        <v>0</v>
      </c>
    </row>
    <row r="389" spans="1:21">
      <c r="A389" t="s">
        <v>339</v>
      </c>
      <c r="B389" t="b">
        <f>LEN(TRIM(A389))=0</f>
        <v>0</v>
      </c>
      <c r="C389" t="b">
        <f>COUNTIF(A:A,A389)&gt;1</f>
        <v>1</v>
      </c>
      <c r="D389" t="s">
        <v>22</v>
      </c>
      <c r="E389" t="b">
        <f>LEN(TRIM(D389))=0</f>
        <v>0</v>
      </c>
      <c r="F389" t="b">
        <f>EXACT(D389,PROPER(D389))</f>
        <v>1</v>
      </c>
      <c r="H389" t="b">
        <f>LEN(TRIM(G389))=0</f>
        <v>1</v>
      </c>
      <c r="I389" t="s">
        <v>157</v>
      </c>
      <c r="J389" t="b">
        <f>EXACT(I389,PROPER(I389))</f>
        <v>0</v>
      </c>
      <c r="K389" t="s">
        <v>42</v>
      </c>
      <c r="L389" t="str">
        <f>TRIM(K389)</f>
        <v>IT</v>
      </c>
      <c r="M389" t="b">
        <f>K389&lt;&gt;L389</f>
        <v>0</v>
      </c>
      <c r="O389" t="b">
        <f>LEN(TRIM(N389))=0</f>
        <v>1</v>
      </c>
      <c r="P389" t="b">
        <f>AND(N389&gt;0, N389&lt;1000000)</f>
        <v>0</v>
      </c>
      <c r="Q389" t="s">
        <v>367</v>
      </c>
      <c r="R389" s="2" t="b">
        <f>LEN(TRIM(Q389))=0</f>
        <v>0</v>
      </c>
      <c r="S389" s="2" t="str">
        <f>IF(RIGHT(TRIM(Q389),9)="gmail.com","OK","Typo")</f>
        <v>OK</v>
      </c>
      <c r="T389" s="2" t="str">
        <f>A389&amp;D389&amp;G389&amp;I389&amp;K389&amp;N389&amp;Q389</f>
        <v>TariqMaleislamabadITtariq70@gmail.com</v>
      </c>
      <c r="U389" s="2" t="b">
        <f>COUNTIF(T:T,T389)&gt;1</f>
        <v>0</v>
      </c>
    </row>
    <row r="390" spans="1:21">
      <c r="A390" t="s">
        <v>339</v>
      </c>
      <c r="B390" t="b">
        <f>LEN(TRIM(A390))=0</f>
        <v>0</v>
      </c>
      <c r="C390" t="b">
        <f>COUNTIF(A:A,A390)&gt;1</f>
        <v>1</v>
      </c>
      <c r="D390" t="s">
        <v>22</v>
      </c>
      <c r="E390" t="b">
        <f>LEN(TRIM(D390))=0</f>
        <v>0</v>
      </c>
      <c r="F390" t="b">
        <f>EXACT(D390,PROPER(D390))</f>
        <v>1</v>
      </c>
      <c r="H390" t="b">
        <f>LEN(TRIM(G390))=0</f>
        <v>1</v>
      </c>
      <c r="I390" t="s">
        <v>45</v>
      </c>
      <c r="J390" t="b">
        <f>EXACT(I390,PROPER(I390))</f>
        <v>1</v>
      </c>
      <c r="K390" t="s">
        <v>24</v>
      </c>
      <c r="L390" t="str">
        <f>TRIM(K390)</f>
        <v>HR</v>
      </c>
      <c r="M390" t="b">
        <f>K390&lt;&gt;L390</f>
        <v>0</v>
      </c>
      <c r="O390" t="b">
        <f>LEN(TRIM(N390))=0</f>
        <v>1</v>
      </c>
      <c r="P390" t="b">
        <f>AND(N390&gt;0, N390&lt;1000000)</f>
        <v>0</v>
      </c>
      <c r="Q390" t="s">
        <v>368</v>
      </c>
      <c r="R390" s="2" t="b">
        <f>LEN(TRIM(Q390))=0</f>
        <v>0</v>
      </c>
      <c r="S390" s="2" t="str">
        <f>IF(RIGHT(TRIM(Q390),9)="gmail.com","OK","Typo")</f>
        <v>OK</v>
      </c>
      <c r="T390" s="2" t="str">
        <f>A390&amp;D390&amp;G390&amp;I390&amp;K390&amp;N390&amp;Q390</f>
        <v>TariqMalePeshawarHRtariq72@gmail.com</v>
      </c>
      <c r="U390" s="2" t="b">
        <f>COUNTIF(T:T,T390)&gt;1</f>
        <v>0</v>
      </c>
    </row>
    <row r="391" spans="1:21">
      <c r="A391" t="s">
        <v>339</v>
      </c>
      <c r="B391" t="b">
        <f>LEN(TRIM(A391))=0</f>
        <v>0</v>
      </c>
      <c r="C391" t="b">
        <f>COUNTIF(A:A,A391)&gt;1</f>
        <v>1</v>
      </c>
      <c r="D391" t="s">
        <v>30</v>
      </c>
      <c r="E391" t="b">
        <f>LEN(TRIM(D391))=0</f>
        <v>0</v>
      </c>
      <c r="F391" t="b">
        <f>EXACT(D391,PROPER(D391))</f>
        <v>1</v>
      </c>
      <c r="G391">
        <v>42</v>
      </c>
      <c r="H391" t="b">
        <f>LEN(TRIM(G391))=0</f>
        <v>0</v>
      </c>
      <c r="I391" t="s">
        <v>23</v>
      </c>
      <c r="J391" t="b">
        <f>EXACT(I391,PROPER(I391))</f>
        <v>1</v>
      </c>
      <c r="K391" t="s">
        <v>35</v>
      </c>
      <c r="L391" t="str">
        <f>TRIM(K391)</f>
        <v>Marketing</v>
      </c>
      <c r="M391" t="b">
        <f>K391&lt;&gt;L391</f>
        <v>0</v>
      </c>
      <c r="N391">
        <v>78884.2</v>
      </c>
      <c r="O391" t="b">
        <f>LEN(TRIM(N391))=0</f>
        <v>0</v>
      </c>
      <c r="P391" t="b">
        <f>AND(N391&gt;0, N391&lt;1000000)</f>
        <v>1</v>
      </c>
      <c r="Q391" t="s">
        <v>369</v>
      </c>
      <c r="R391" s="2" t="b">
        <f>LEN(TRIM(Q391))=0</f>
        <v>0</v>
      </c>
      <c r="S391" s="2" t="str">
        <f>IF(RIGHT(TRIM(Q391),9)="gmail.com","OK","Typo")</f>
        <v>OK</v>
      </c>
      <c r="T391" s="2" t="str">
        <f>A391&amp;D391&amp;G391&amp;I391&amp;K391&amp;N391&amp;Q391</f>
        <v>TariqFemale42QuettaMarketing78884.2tariq75@gmail.com</v>
      </c>
      <c r="U391" s="2" t="b">
        <f>COUNTIF(T:T,T391)&gt;1</f>
        <v>0</v>
      </c>
    </row>
    <row r="392" spans="1:21">
      <c r="A392" t="s">
        <v>339</v>
      </c>
      <c r="B392" t="b">
        <f>LEN(TRIM(A392))=0</f>
        <v>0</v>
      </c>
      <c r="C392" t="b">
        <f>COUNTIF(A:A,A392)&gt;1</f>
        <v>1</v>
      </c>
      <c r="D392" t="s">
        <v>22</v>
      </c>
      <c r="E392" t="b">
        <f>LEN(TRIM(D392))=0</f>
        <v>0</v>
      </c>
      <c r="F392" t="b">
        <f>EXACT(D392,PROPER(D392))</f>
        <v>1</v>
      </c>
      <c r="H392" t="b">
        <f>LEN(TRIM(G392))=0</f>
        <v>1</v>
      </c>
      <c r="I392" t="s">
        <v>37</v>
      </c>
      <c r="J392" t="b">
        <f>EXACT(I392,PROPER(I392))</f>
        <v>1</v>
      </c>
      <c r="K392" t="s">
        <v>29</v>
      </c>
      <c r="L392" t="str">
        <f>TRIM(K392)</f>
        <v>Finance</v>
      </c>
      <c r="M392" t="b">
        <f>K392&lt;&gt;L392</f>
        <v>0</v>
      </c>
      <c r="O392" t="b">
        <f>LEN(TRIM(N392))=0</f>
        <v>1</v>
      </c>
      <c r="P392" t="b">
        <f>AND(N392&gt;0, N392&lt;1000000)</f>
        <v>0</v>
      </c>
      <c r="Q392" t="s">
        <v>369</v>
      </c>
      <c r="R392" s="2" t="b">
        <f>LEN(TRIM(Q392))=0</f>
        <v>0</v>
      </c>
      <c r="S392" s="2" t="str">
        <f>IF(RIGHT(TRIM(Q392),9)="gmail.com","OK","Typo")</f>
        <v>OK</v>
      </c>
      <c r="T392" s="2" t="str">
        <f>A392&amp;D392&amp;G392&amp;I392&amp;K392&amp;N392&amp;Q392</f>
        <v>TariqMaleIslamabadFinancetariq75@gmail.com</v>
      </c>
      <c r="U392" s="2" t="b">
        <f>COUNTIF(T:T,T392)&gt;1</f>
        <v>0</v>
      </c>
    </row>
    <row r="393" spans="1:21">
      <c r="A393" t="s">
        <v>339</v>
      </c>
      <c r="B393" t="b">
        <f>LEN(TRIM(A393))=0</f>
        <v>0</v>
      </c>
      <c r="C393" t="b">
        <f>COUNTIF(A:A,A393)&gt;1</f>
        <v>1</v>
      </c>
      <c r="D393" t="s">
        <v>22</v>
      </c>
      <c r="E393" t="b">
        <f>LEN(TRIM(D393))=0</f>
        <v>0</v>
      </c>
      <c r="F393" t="b">
        <f>EXACT(D393,PROPER(D393))</f>
        <v>1</v>
      </c>
      <c r="G393">
        <v>47</v>
      </c>
      <c r="H393" t="b">
        <f>LEN(TRIM(G393))=0</f>
        <v>0</v>
      </c>
      <c r="I393" t="s">
        <v>28</v>
      </c>
      <c r="J393" t="b">
        <f>EXACT(I393,PROPER(I393))</f>
        <v>1</v>
      </c>
      <c r="K393" t="s">
        <v>47</v>
      </c>
      <c r="L393" t="str">
        <f>TRIM(K393)</f>
        <v>Sales</v>
      </c>
      <c r="M393" t="b">
        <f>K393&lt;&gt;L393</f>
        <v>1</v>
      </c>
      <c r="N393">
        <v>123609.72</v>
      </c>
      <c r="O393" t="b">
        <f>LEN(TRIM(N393))=0</f>
        <v>0</v>
      </c>
      <c r="P393" t="b">
        <f>AND(N393&gt;0, N393&lt;1000000)</f>
        <v>1</v>
      </c>
      <c r="Q393" t="s">
        <v>370</v>
      </c>
      <c r="R393" s="2" t="b">
        <f>LEN(TRIM(Q393))=0</f>
        <v>0</v>
      </c>
      <c r="S393" s="2" t="str">
        <f>IF(RIGHT(TRIM(Q393),9)="gmail.com","OK","Typo")</f>
        <v>OK</v>
      </c>
      <c r="T393" s="2" t="str">
        <f>A393&amp;D393&amp;G393&amp;I393&amp;K393&amp;N393&amp;Q393</f>
        <v>TariqMale47Karachi Sales 123609.72tariq76@gmail.com</v>
      </c>
      <c r="U393" s="2" t="b">
        <f>COUNTIF(T:T,T393)&gt;1</f>
        <v>0</v>
      </c>
    </row>
    <row r="394" spans="1:21">
      <c r="A394" t="s">
        <v>339</v>
      </c>
      <c r="B394" t="b">
        <f>LEN(TRIM(A394))=0</f>
        <v>0</v>
      </c>
      <c r="C394" t="b">
        <f>COUNTIF(A:A,A394)&gt;1</f>
        <v>1</v>
      </c>
      <c r="D394" t="s">
        <v>30</v>
      </c>
      <c r="E394" t="b">
        <f>LEN(TRIM(D394))=0</f>
        <v>0</v>
      </c>
      <c r="F394" t="b">
        <f>EXACT(D394,PROPER(D394))</f>
        <v>1</v>
      </c>
      <c r="G394">
        <v>29</v>
      </c>
      <c r="H394" t="b">
        <f>LEN(TRIM(G394))=0</f>
        <v>0</v>
      </c>
      <c r="I394" t="s">
        <v>32</v>
      </c>
      <c r="J394" t="b">
        <f>EXACT(I394,PROPER(I394))</f>
        <v>1</v>
      </c>
      <c r="K394" t="s">
        <v>29</v>
      </c>
      <c r="L394" t="str">
        <f>TRIM(K394)</f>
        <v>Finance</v>
      </c>
      <c r="M394" t="b">
        <f>K394&lt;&gt;L394</f>
        <v>0</v>
      </c>
      <c r="O394" t="b">
        <f>LEN(TRIM(N394))=0</f>
        <v>1</v>
      </c>
      <c r="P394" t="b">
        <f>AND(N394&gt;0, N394&lt;1000000)</f>
        <v>0</v>
      </c>
      <c r="Q394" t="s">
        <v>371</v>
      </c>
      <c r="R394" s="2" t="b">
        <f>LEN(TRIM(Q394))=0</f>
        <v>0</v>
      </c>
      <c r="S394" s="2" t="str">
        <f>IF(RIGHT(TRIM(Q394),9)="gmail.com","OK","Typo")</f>
        <v>OK</v>
      </c>
      <c r="T394" s="2" t="str">
        <f>A394&amp;D394&amp;G394&amp;I394&amp;K394&amp;N394&amp;Q394</f>
        <v>TariqFemale29LahoreFinancetariq78@gmail.com</v>
      </c>
      <c r="U394" s="2" t="b">
        <f>COUNTIF(T:T,T394)&gt;1</f>
        <v>0</v>
      </c>
    </row>
    <row r="395" spans="1:21">
      <c r="A395" t="s">
        <v>339</v>
      </c>
      <c r="B395" t="b">
        <f>LEN(TRIM(A395))=0</f>
        <v>0</v>
      </c>
      <c r="C395" t="b">
        <f>COUNTIF(A:A,A395)&gt;1</f>
        <v>1</v>
      </c>
      <c r="D395" t="s">
        <v>30</v>
      </c>
      <c r="E395" t="b">
        <f>LEN(TRIM(D395))=0</f>
        <v>0</v>
      </c>
      <c r="F395" t="b">
        <f>EXACT(D395,PROPER(D395))</f>
        <v>1</v>
      </c>
      <c r="H395" t="b">
        <f>LEN(TRIM(G395))=0</f>
        <v>1</v>
      </c>
      <c r="I395" t="s">
        <v>28</v>
      </c>
      <c r="J395" t="b">
        <f>EXACT(I395,PROPER(I395))</f>
        <v>1</v>
      </c>
      <c r="K395" t="s">
        <v>38</v>
      </c>
      <c r="L395" t="str">
        <f>TRIM(K395)</f>
        <v>Sales</v>
      </c>
      <c r="M395" t="b">
        <f>K395&lt;&gt;L395</f>
        <v>0</v>
      </c>
      <c r="O395" t="b">
        <f>LEN(TRIM(N395))=0</f>
        <v>1</v>
      </c>
      <c r="P395" t="b">
        <f>AND(N395&gt;0, N395&lt;1000000)</f>
        <v>0</v>
      </c>
      <c r="Q395" t="s">
        <v>372</v>
      </c>
      <c r="R395" s="2" t="b">
        <f>LEN(TRIM(Q395))=0</f>
        <v>0</v>
      </c>
      <c r="S395" s="2" t="str">
        <f>IF(RIGHT(TRIM(Q395),9)="gmail.com","OK","Typo")</f>
        <v>Typo</v>
      </c>
      <c r="T395" s="2" t="str">
        <f>A395&amp;D395&amp;G395&amp;I395&amp;K395&amp;N395&amp;Q395</f>
        <v>TariqFemaleKarachiSalestariq79@gamil.com</v>
      </c>
      <c r="U395" s="2" t="b">
        <f>COUNTIF(T:T,T395)&gt;1</f>
        <v>0</v>
      </c>
    </row>
    <row r="396" spans="1:21">
      <c r="A396" t="s">
        <v>339</v>
      </c>
      <c r="B396" t="b">
        <f>LEN(TRIM(A396))=0</f>
        <v>0</v>
      </c>
      <c r="C396" t="b">
        <f>COUNTIF(A:A,A396)&gt;1</f>
        <v>1</v>
      </c>
      <c r="D396" t="s">
        <v>30</v>
      </c>
      <c r="E396" t="b">
        <f>LEN(TRIM(D396))=0</f>
        <v>0</v>
      </c>
      <c r="F396" t="b">
        <f>EXACT(D396,PROPER(D396))</f>
        <v>1</v>
      </c>
      <c r="G396">
        <v>33</v>
      </c>
      <c r="H396" t="b">
        <f>LEN(TRIM(G396))=0</f>
        <v>0</v>
      </c>
      <c r="I396" t="s">
        <v>37</v>
      </c>
      <c r="J396" t="b">
        <f>EXACT(I396,PROPER(I396))</f>
        <v>1</v>
      </c>
      <c r="K396" t="s">
        <v>60</v>
      </c>
      <c r="L396" t="str">
        <f>TRIM(K396)</f>
        <v>Finance</v>
      </c>
      <c r="M396" t="b">
        <f>K396&lt;&gt;L396</f>
        <v>1</v>
      </c>
      <c r="N396">
        <v>141318.35</v>
      </c>
      <c r="O396" t="b">
        <f>LEN(TRIM(N396))=0</f>
        <v>0</v>
      </c>
      <c r="P396" t="b">
        <f>AND(N396&gt;0, N396&lt;1000000)</f>
        <v>1</v>
      </c>
      <c r="Q396" t="s">
        <v>373</v>
      </c>
      <c r="R396" s="2" t="b">
        <f>LEN(TRIM(Q396))=0</f>
        <v>0</v>
      </c>
      <c r="S396" s="2" t="str">
        <f>IF(RIGHT(TRIM(Q396),9)="gmail.com","OK","Typo")</f>
        <v>OK</v>
      </c>
      <c r="T396" s="2" t="str">
        <f>A396&amp;D396&amp;G396&amp;I396&amp;K396&amp;N396&amp;Q396</f>
        <v>TariqFemale33Islamabad Finance 141318.35tariq82@gmail.com</v>
      </c>
      <c r="U396" s="2" t="b">
        <f>COUNTIF(T:T,T396)&gt;1</f>
        <v>0</v>
      </c>
    </row>
    <row r="397" spans="1:21">
      <c r="A397" t="s">
        <v>339</v>
      </c>
      <c r="B397" t="b">
        <f>LEN(TRIM(A397))=0</f>
        <v>0</v>
      </c>
      <c r="C397" t="b">
        <f>COUNTIF(A:A,A397)&gt;1</f>
        <v>1</v>
      </c>
      <c r="D397" t="s">
        <v>22</v>
      </c>
      <c r="E397" t="b">
        <f>LEN(TRIM(D397))=0</f>
        <v>0</v>
      </c>
      <c r="F397" t="b">
        <f>EXACT(D397,PROPER(D397))</f>
        <v>1</v>
      </c>
      <c r="H397" t="b">
        <f>LEN(TRIM(G397))=0</f>
        <v>1</v>
      </c>
      <c r="I397" t="s">
        <v>32</v>
      </c>
      <c r="J397" t="b">
        <f>EXACT(I397,PROPER(I397))</f>
        <v>1</v>
      </c>
      <c r="K397" t="s">
        <v>42</v>
      </c>
      <c r="L397" t="str">
        <f>TRIM(K397)</f>
        <v>IT</v>
      </c>
      <c r="M397" t="b">
        <f>K397&lt;&gt;L397</f>
        <v>0</v>
      </c>
      <c r="N397">
        <v>101811.47</v>
      </c>
      <c r="O397" t="b">
        <f>LEN(TRIM(N397))=0</f>
        <v>0</v>
      </c>
      <c r="P397" t="b">
        <f>AND(N397&gt;0, N397&lt;1000000)</f>
        <v>1</v>
      </c>
      <c r="Q397" t="s">
        <v>373</v>
      </c>
      <c r="R397" s="2" t="b">
        <f>LEN(TRIM(Q397))=0</f>
        <v>0</v>
      </c>
      <c r="S397" s="2" t="str">
        <f>IF(RIGHT(TRIM(Q397),9)="gmail.com","OK","Typo")</f>
        <v>OK</v>
      </c>
      <c r="T397" s="2" t="str">
        <f>A397&amp;D397&amp;G397&amp;I397&amp;K397&amp;N397&amp;Q397</f>
        <v>TariqMaleLahoreIT101811.47tariq82@gmail.com</v>
      </c>
      <c r="U397" s="2" t="b">
        <f>COUNTIF(T:T,T397)&gt;1</f>
        <v>0</v>
      </c>
    </row>
    <row r="398" spans="1:21">
      <c r="A398" t="s">
        <v>339</v>
      </c>
      <c r="B398" t="b">
        <f>LEN(TRIM(A398))=0</f>
        <v>0</v>
      </c>
      <c r="C398" t="b">
        <f>COUNTIF(A:A,A398)&gt;1</f>
        <v>1</v>
      </c>
      <c r="D398" t="s">
        <v>22</v>
      </c>
      <c r="E398" t="b">
        <f>LEN(TRIM(D398))=0</f>
        <v>0</v>
      </c>
      <c r="F398" t="b">
        <f>EXACT(D398,PROPER(D398))</f>
        <v>1</v>
      </c>
      <c r="G398">
        <v>47</v>
      </c>
      <c r="H398" t="b">
        <f>LEN(TRIM(G398))=0</f>
        <v>0</v>
      </c>
      <c r="I398" t="s">
        <v>23</v>
      </c>
      <c r="J398" t="b">
        <f>EXACT(I398,PROPER(I398))</f>
        <v>1</v>
      </c>
      <c r="K398" t="s">
        <v>42</v>
      </c>
      <c r="L398" t="str">
        <f>TRIM(K398)</f>
        <v>IT</v>
      </c>
      <c r="M398" t="b">
        <f>K398&lt;&gt;L398</f>
        <v>0</v>
      </c>
      <c r="N398">
        <v>69132.3</v>
      </c>
      <c r="O398" t="b">
        <f>LEN(TRIM(N398))=0</f>
        <v>0</v>
      </c>
      <c r="P398" t="b">
        <f>AND(N398&gt;0, N398&lt;1000000)</f>
        <v>1</v>
      </c>
      <c r="Q398" t="s">
        <v>373</v>
      </c>
      <c r="R398" s="2" t="b">
        <f>LEN(TRIM(Q398))=0</f>
        <v>0</v>
      </c>
      <c r="S398" s="2" t="str">
        <f>IF(RIGHT(TRIM(Q398),9)="gmail.com","OK","Typo")</f>
        <v>OK</v>
      </c>
      <c r="T398" s="2" t="str">
        <f>A398&amp;D398&amp;G398&amp;I398&amp;K398&amp;N398&amp;Q398</f>
        <v>TariqMale47QuettaIT69132.3tariq82@gmail.com</v>
      </c>
      <c r="U398" s="2" t="b">
        <f>COUNTIF(T:T,T398)&gt;1</f>
        <v>0</v>
      </c>
    </row>
    <row r="399" spans="1:21">
      <c r="A399" t="s">
        <v>339</v>
      </c>
      <c r="B399" t="b">
        <f>LEN(TRIM(A399))=0</f>
        <v>0</v>
      </c>
      <c r="C399" t="b">
        <f>COUNTIF(A:A,A399)&gt;1</f>
        <v>1</v>
      </c>
      <c r="D399" t="s">
        <v>30</v>
      </c>
      <c r="E399" t="b">
        <f>LEN(TRIM(D399))=0</f>
        <v>0</v>
      </c>
      <c r="F399" t="b">
        <f>EXACT(D399,PROPER(D399))</f>
        <v>1</v>
      </c>
      <c r="H399" t="b">
        <f>LEN(TRIM(G399))=0</f>
        <v>1</v>
      </c>
      <c r="I399" t="s">
        <v>45</v>
      </c>
      <c r="J399" t="b">
        <f>EXACT(I399,PROPER(I399))</f>
        <v>1</v>
      </c>
      <c r="K399" t="s">
        <v>29</v>
      </c>
      <c r="L399" t="str">
        <f>TRIM(K399)</f>
        <v>Finance</v>
      </c>
      <c r="M399" t="b">
        <f>K399&lt;&gt;L399</f>
        <v>0</v>
      </c>
      <c r="N399">
        <v>63234.14</v>
      </c>
      <c r="O399" t="b">
        <f>LEN(TRIM(N399))=0</f>
        <v>0</v>
      </c>
      <c r="P399" t="b">
        <f>AND(N399&gt;0, N399&lt;1000000)</f>
        <v>1</v>
      </c>
      <c r="Q399" t="s">
        <v>373</v>
      </c>
      <c r="R399" s="2" t="b">
        <f>LEN(TRIM(Q399))=0</f>
        <v>0</v>
      </c>
      <c r="S399" s="2" t="str">
        <f>IF(RIGHT(TRIM(Q399),9)="gmail.com","OK","Typo")</f>
        <v>OK</v>
      </c>
      <c r="T399" s="2" t="str">
        <f>A399&amp;D399&amp;G399&amp;I399&amp;K399&amp;N399&amp;Q399</f>
        <v>TariqFemalePeshawarFinance63234.14tariq82@gmail.com</v>
      </c>
      <c r="U399" s="2" t="b">
        <f>COUNTIF(T:T,T399)&gt;1</f>
        <v>0</v>
      </c>
    </row>
    <row r="400" spans="1:21">
      <c r="A400" t="s">
        <v>339</v>
      </c>
      <c r="B400" t="b">
        <f>LEN(TRIM(A400))=0</f>
        <v>0</v>
      </c>
      <c r="C400" t="b">
        <f>COUNTIF(A:A,A400)&gt;1</f>
        <v>1</v>
      </c>
      <c r="D400" t="s">
        <v>22</v>
      </c>
      <c r="E400" t="b">
        <f>LEN(TRIM(D400))=0</f>
        <v>0</v>
      </c>
      <c r="F400" t="b">
        <f>EXACT(D400,PROPER(D400))</f>
        <v>1</v>
      </c>
      <c r="G400">
        <v>40</v>
      </c>
      <c r="H400" t="b">
        <f>LEN(TRIM(G400))=0</f>
        <v>0</v>
      </c>
      <c r="I400" t="s">
        <v>28</v>
      </c>
      <c r="J400" t="b">
        <f>EXACT(I400,PROPER(I400))</f>
        <v>1</v>
      </c>
      <c r="K400" t="s">
        <v>29</v>
      </c>
      <c r="L400" t="str">
        <f>TRIM(K400)</f>
        <v>Finance</v>
      </c>
      <c r="M400" t="b">
        <f>K400&lt;&gt;L400</f>
        <v>0</v>
      </c>
      <c r="O400" t="b">
        <f>LEN(TRIM(N400))=0</f>
        <v>1</v>
      </c>
      <c r="P400" t="b">
        <f>AND(N400&gt;0, N400&lt;1000000)</f>
        <v>0</v>
      </c>
      <c r="Q400" t="s">
        <v>373</v>
      </c>
      <c r="R400" s="2" t="b">
        <f>LEN(TRIM(Q400))=0</f>
        <v>0</v>
      </c>
      <c r="S400" s="2" t="str">
        <f>IF(RIGHT(TRIM(Q400),9)="gmail.com","OK","Typo")</f>
        <v>OK</v>
      </c>
      <c r="T400" s="2" t="str">
        <f>A400&amp;D400&amp;G400&amp;I400&amp;K400&amp;N400&amp;Q400</f>
        <v>TariqMale40KarachiFinancetariq82@gmail.com</v>
      </c>
      <c r="U400" s="2" t="b">
        <f>COUNTIF(T:T,T400)&gt;1</f>
        <v>0</v>
      </c>
    </row>
    <row r="401" spans="1:21">
      <c r="A401" t="s">
        <v>339</v>
      </c>
      <c r="B401" t="b">
        <f>LEN(TRIM(A401))=0</f>
        <v>0</v>
      </c>
      <c r="C401" t="b">
        <f>COUNTIF(A:A,A401)&gt;1</f>
        <v>1</v>
      </c>
      <c r="D401" t="s">
        <v>22</v>
      </c>
      <c r="E401" t="b">
        <f>LEN(TRIM(D401))=0</f>
        <v>0</v>
      </c>
      <c r="F401" t="b">
        <f>EXACT(D401,PROPER(D401))</f>
        <v>1</v>
      </c>
      <c r="G401">
        <v>23</v>
      </c>
      <c r="H401" t="b">
        <f>LEN(TRIM(G401))=0</f>
        <v>0</v>
      </c>
      <c r="I401" t="s">
        <v>32</v>
      </c>
      <c r="J401" t="b">
        <f>EXACT(I401,PROPER(I401))</f>
        <v>1</v>
      </c>
      <c r="K401" t="s">
        <v>38</v>
      </c>
      <c r="L401" t="str">
        <f>TRIM(K401)</f>
        <v>Sales</v>
      </c>
      <c r="M401" t="b">
        <f>K401&lt;&gt;L401</f>
        <v>0</v>
      </c>
      <c r="N401">
        <v>145773.73000000001</v>
      </c>
      <c r="O401" t="b">
        <f>LEN(TRIM(N401))=0</f>
        <v>0</v>
      </c>
      <c r="P401" t="b">
        <f>AND(N401&gt;0, N401&lt;1000000)</f>
        <v>1</v>
      </c>
      <c r="Q401" t="s">
        <v>374</v>
      </c>
      <c r="R401" s="2" t="b">
        <f>LEN(TRIM(Q401))=0</f>
        <v>0</v>
      </c>
      <c r="S401" s="2" t="str">
        <f>IF(RIGHT(TRIM(Q401),9)="gmail.com","OK","Typo")</f>
        <v>OK</v>
      </c>
      <c r="T401" s="2" t="str">
        <f>A401&amp;D401&amp;G401&amp;I401&amp;K401&amp;N401&amp;Q401</f>
        <v>TariqMale23LahoreSales145773.73tariq83@gmail.com</v>
      </c>
      <c r="U401" s="2" t="b">
        <f>COUNTIF(T:T,T401)&gt;1</f>
        <v>0</v>
      </c>
    </row>
    <row r="402" spans="1:21">
      <c r="A402" t="s">
        <v>339</v>
      </c>
      <c r="B402" t="b">
        <f>LEN(TRIM(A402))=0</f>
        <v>0</v>
      </c>
      <c r="C402" t="b">
        <f>COUNTIF(A:A,A402)&gt;1</f>
        <v>1</v>
      </c>
      <c r="D402" t="s">
        <v>22</v>
      </c>
      <c r="E402" t="b">
        <f>LEN(TRIM(D402))=0</f>
        <v>0</v>
      </c>
      <c r="F402" t="b">
        <f>EXACT(D402,PROPER(D402))</f>
        <v>1</v>
      </c>
      <c r="H402" t="b">
        <f>LEN(TRIM(G402))=0</f>
        <v>1</v>
      </c>
      <c r="I402" t="s">
        <v>23</v>
      </c>
      <c r="J402" t="b">
        <f>EXACT(I402,PROPER(I402))</f>
        <v>1</v>
      </c>
      <c r="K402" t="s">
        <v>24</v>
      </c>
      <c r="L402" t="str">
        <f>TRIM(K402)</f>
        <v>HR</v>
      </c>
      <c r="M402" t="b">
        <f>K402&lt;&gt;L402</f>
        <v>0</v>
      </c>
      <c r="N402">
        <v>105922.27</v>
      </c>
      <c r="O402" t="b">
        <f>LEN(TRIM(N402))=0</f>
        <v>0</v>
      </c>
      <c r="P402" t="b">
        <f>AND(N402&gt;0, N402&lt;1000000)</f>
        <v>1</v>
      </c>
      <c r="Q402" t="s">
        <v>375</v>
      </c>
      <c r="R402" s="2" t="b">
        <f>LEN(TRIM(Q402))=0</f>
        <v>0</v>
      </c>
      <c r="S402" s="2" t="str">
        <f>IF(RIGHT(TRIM(Q402),9)="gmail.com","OK","Typo")</f>
        <v>OK</v>
      </c>
      <c r="T402" s="2" t="str">
        <f>A402&amp;D402&amp;G402&amp;I402&amp;K402&amp;N402&amp;Q402</f>
        <v>TariqMaleQuettaHR105922.27tariq84@gmail.com</v>
      </c>
      <c r="U402" s="2" t="b">
        <f>COUNTIF(T:T,T402)&gt;1</f>
        <v>0</v>
      </c>
    </row>
    <row r="403" spans="1:21">
      <c r="A403" t="s">
        <v>339</v>
      </c>
      <c r="B403" t="b">
        <f>LEN(TRIM(A403))=0</f>
        <v>0</v>
      </c>
      <c r="C403" t="b">
        <f>COUNTIF(A:A,A403)&gt;1</f>
        <v>1</v>
      </c>
      <c r="D403" t="s">
        <v>30</v>
      </c>
      <c r="E403" t="b">
        <f>LEN(TRIM(D403))=0</f>
        <v>0</v>
      </c>
      <c r="F403" t="b">
        <f>EXACT(D403,PROPER(D403))</f>
        <v>1</v>
      </c>
      <c r="G403">
        <v>24</v>
      </c>
      <c r="H403" t="b">
        <f>LEN(TRIM(G403))=0</f>
        <v>0</v>
      </c>
      <c r="I403" t="s">
        <v>157</v>
      </c>
      <c r="J403" t="b">
        <f>EXACT(I403,PROPER(I403))</f>
        <v>0</v>
      </c>
      <c r="K403" t="s">
        <v>42</v>
      </c>
      <c r="L403" t="str">
        <f>TRIM(K403)</f>
        <v>IT</v>
      </c>
      <c r="M403" t="b">
        <f>K403&lt;&gt;L403</f>
        <v>0</v>
      </c>
      <c r="O403" t="b">
        <f>LEN(TRIM(N403))=0</f>
        <v>1</v>
      </c>
      <c r="P403" t="b">
        <f>AND(N403&gt;0, N403&lt;1000000)</f>
        <v>0</v>
      </c>
      <c r="Q403" t="s">
        <v>376</v>
      </c>
      <c r="R403" s="2" t="b">
        <f>LEN(TRIM(Q403))=0</f>
        <v>0</v>
      </c>
      <c r="S403" s="2" t="str">
        <f>IF(RIGHT(TRIM(Q403),9)="gmail.com","OK","Typo")</f>
        <v>OK</v>
      </c>
      <c r="T403" s="2" t="str">
        <f>A403&amp;D403&amp;G403&amp;I403&amp;K403&amp;N403&amp;Q403</f>
        <v>TariqFemale24islamabadITtariq90@gmail.com</v>
      </c>
      <c r="U403" s="2" t="b">
        <f>COUNTIF(T:T,T403)&gt;1</f>
        <v>0</v>
      </c>
    </row>
    <row r="404" spans="1:21">
      <c r="A404" t="s">
        <v>339</v>
      </c>
      <c r="B404" t="b">
        <f>LEN(TRIM(A404))=0</f>
        <v>0</v>
      </c>
      <c r="C404" t="b">
        <f>COUNTIF(A:A,A404)&gt;1</f>
        <v>1</v>
      </c>
      <c r="D404" t="s">
        <v>22</v>
      </c>
      <c r="E404" t="b">
        <f>LEN(TRIM(D404))=0</f>
        <v>0</v>
      </c>
      <c r="F404" t="b">
        <f>EXACT(D404,PROPER(D404))</f>
        <v>1</v>
      </c>
      <c r="G404">
        <v>55</v>
      </c>
      <c r="H404" t="b">
        <f>LEN(TRIM(G404))=0</f>
        <v>0</v>
      </c>
      <c r="I404" t="s">
        <v>45</v>
      </c>
      <c r="J404" t="b">
        <f>EXACT(I404,PROPER(I404))</f>
        <v>1</v>
      </c>
      <c r="K404" t="s">
        <v>42</v>
      </c>
      <c r="L404" t="str">
        <f>TRIM(K404)</f>
        <v>IT</v>
      </c>
      <c r="M404" t="b">
        <f>K404&lt;&gt;L404</f>
        <v>0</v>
      </c>
      <c r="O404" t="b">
        <f>LEN(TRIM(N404))=0</f>
        <v>1</v>
      </c>
      <c r="P404" t="b">
        <f>AND(N404&gt;0, N404&lt;1000000)</f>
        <v>0</v>
      </c>
      <c r="Q404" t="s">
        <v>377</v>
      </c>
      <c r="R404" s="2" t="b">
        <f>LEN(TRIM(Q404))=0</f>
        <v>0</v>
      </c>
      <c r="S404" s="2" t="str">
        <f>IF(RIGHT(TRIM(Q404),9)="gmail.com","OK","Typo")</f>
        <v>OK</v>
      </c>
      <c r="T404" s="2" t="str">
        <f>A404&amp;D404&amp;G404&amp;I404&amp;K404&amp;N404&amp;Q404</f>
        <v>TariqMale55PeshawarITtariq92@gmail.com</v>
      </c>
      <c r="U404" s="2" t="b">
        <f>COUNTIF(T:T,T404)&gt;1</f>
        <v>0</v>
      </c>
    </row>
    <row r="405" spans="1:21">
      <c r="A405" t="s">
        <v>339</v>
      </c>
      <c r="B405" t="b">
        <f>LEN(TRIM(A405))=0</f>
        <v>0</v>
      </c>
      <c r="C405" t="b">
        <f>COUNTIF(A:A,A405)&gt;1</f>
        <v>1</v>
      </c>
      <c r="D405" t="s">
        <v>22</v>
      </c>
      <c r="E405" t="b">
        <f>LEN(TRIM(D405))=0</f>
        <v>0</v>
      </c>
      <c r="F405" t="b">
        <f>EXACT(D405,PROPER(D405))</f>
        <v>1</v>
      </c>
      <c r="H405" t="b">
        <f>LEN(TRIM(G405))=0</f>
        <v>1</v>
      </c>
      <c r="I405" t="s">
        <v>28</v>
      </c>
      <c r="J405" t="b">
        <f>EXACT(I405,PROPER(I405))</f>
        <v>1</v>
      </c>
      <c r="K405" t="s">
        <v>24</v>
      </c>
      <c r="L405" t="str">
        <f>TRIM(K405)</f>
        <v>HR</v>
      </c>
      <c r="M405" t="b">
        <f>K405&lt;&gt;L405</f>
        <v>0</v>
      </c>
      <c r="O405" t="b">
        <f>LEN(TRIM(N405))=0</f>
        <v>1</v>
      </c>
      <c r="P405" t="b">
        <f>AND(N405&gt;0, N405&lt;1000000)</f>
        <v>0</v>
      </c>
      <c r="Q405" t="s">
        <v>378</v>
      </c>
      <c r="R405" s="2" t="b">
        <f>LEN(TRIM(Q405))=0</f>
        <v>0</v>
      </c>
      <c r="S405" s="2" t="str">
        <f>IF(RIGHT(TRIM(Q405),9)="gmail.com","OK","Typo")</f>
        <v>OK</v>
      </c>
      <c r="T405" s="2" t="str">
        <f>A405&amp;D405&amp;G405&amp;I405&amp;K405&amp;N405&amp;Q405</f>
        <v>TariqMaleKarachiHRtariq94@gmail.com</v>
      </c>
      <c r="U405" s="2" t="b">
        <f>COUNTIF(T:T,T405)&gt;1</f>
        <v>0</v>
      </c>
    </row>
    <row r="406" spans="1:21">
      <c r="A406" t="s">
        <v>339</v>
      </c>
      <c r="B406" t="b">
        <f>LEN(TRIM(A406))=0</f>
        <v>0</v>
      </c>
      <c r="C406" t="b">
        <f>COUNTIF(A:A,A406)&gt;1</f>
        <v>1</v>
      </c>
      <c r="D406" t="s">
        <v>30</v>
      </c>
      <c r="E406" t="b">
        <f>LEN(TRIM(D406))=0</f>
        <v>0</v>
      </c>
      <c r="F406" t="b">
        <f>EXACT(D406,PROPER(D406))</f>
        <v>1</v>
      </c>
      <c r="G406">
        <v>32</v>
      </c>
      <c r="H406" t="b">
        <f>LEN(TRIM(G406))=0</f>
        <v>0</v>
      </c>
      <c r="I406" t="s">
        <v>28</v>
      </c>
      <c r="J406" t="b">
        <f>EXACT(I406,PROPER(I406))</f>
        <v>1</v>
      </c>
      <c r="K406" t="s">
        <v>42</v>
      </c>
      <c r="L406" t="str">
        <f>TRIM(K406)</f>
        <v>IT</v>
      </c>
      <c r="M406" t="b">
        <f>K406&lt;&gt;L406</f>
        <v>0</v>
      </c>
      <c r="N406">
        <v>116380.94</v>
      </c>
      <c r="O406" t="b">
        <f>LEN(TRIM(N406))=0</f>
        <v>0</v>
      </c>
      <c r="P406" t="b">
        <f>AND(N406&gt;0, N406&lt;1000000)</f>
        <v>1</v>
      </c>
      <c r="Q406" t="s">
        <v>379</v>
      </c>
      <c r="R406" s="2" t="b">
        <f>LEN(TRIM(Q406))=0</f>
        <v>0</v>
      </c>
      <c r="S406" s="2" t="str">
        <f>IF(RIGHT(TRIM(Q406),9)="gmail.com","OK","Typo")</f>
        <v>OK</v>
      </c>
      <c r="T406" s="2" t="str">
        <f>A406&amp;D406&amp;G406&amp;I406&amp;K406&amp;N406&amp;Q406</f>
        <v>TariqFemale32KarachiIT116380.94tariq99@gmail.com</v>
      </c>
      <c r="U406" s="2" t="b">
        <f>COUNTIF(T:T,T406)&gt;1</f>
        <v>0</v>
      </c>
    </row>
    <row r="407" spans="1:21">
      <c r="A407" t="s">
        <v>380</v>
      </c>
      <c r="B407" t="b">
        <f>LEN(TRIM(A407))=0</f>
        <v>0</v>
      </c>
      <c r="C407" t="b">
        <f>COUNTIF(A:A,A407)&gt;1</f>
        <v>1</v>
      </c>
      <c r="D407" t="s">
        <v>22</v>
      </c>
      <c r="E407" t="b">
        <f>LEN(TRIM(D407))=0</f>
        <v>0</v>
      </c>
      <c r="F407" t="b">
        <f>EXACT(D407,PROPER(D407))</f>
        <v>1</v>
      </c>
      <c r="H407" t="b">
        <f>LEN(TRIM(G407))=0</f>
        <v>1</v>
      </c>
      <c r="I407" t="s">
        <v>23</v>
      </c>
      <c r="J407" t="b">
        <f>EXACT(I407,PROPER(I407))</f>
        <v>1</v>
      </c>
      <c r="K407" t="s">
        <v>24</v>
      </c>
      <c r="L407" t="str">
        <f>TRIM(K407)</f>
        <v>HR</v>
      </c>
      <c r="M407" t="b">
        <f>K407&lt;&gt;L407</f>
        <v>0</v>
      </c>
      <c r="O407" t="b">
        <f>LEN(TRIM(N407))=0</f>
        <v>1</v>
      </c>
      <c r="P407" t="b">
        <f>AND(N407&gt;0, N407&lt;1000000)</f>
        <v>0</v>
      </c>
      <c r="Q407" t="s">
        <v>381</v>
      </c>
      <c r="R407" s="2" t="b">
        <f>LEN(TRIM(Q407))=0</f>
        <v>0</v>
      </c>
      <c r="S407" s="2" t="str">
        <f>IF(RIGHT(TRIM(Q407),9)="gmail.com","OK","Typo")</f>
        <v>Typo</v>
      </c>
      <c r="T407" s="2" t="str">
        <f>A407&amp;D407&amp;G407&amp;I407&amp;K407&amp;N407&amp;Q407</f>
        <v>UsmanMaleQuettaHRusman12@gamil.com</v>
      </c>
      <c r="U407" s="2" t="b">
        <f>COUNTIF(T:T,T407)&gt;1</f>
        <v>0</v>
      </c>
    </row>
    <row r="408" spans="1:21">
      <c r="A408" t="s">
        <v>380</v>
      </c>
      <c r="B408" t="b">
        <f>LEN(TRIM(A408))=0</f>
        <v>0</v>
      </c>
      <c r="C408" t="b">
        <f>COUNTIF(A:A,A408)&gt;1</f>
        <v>1</v>
      </c>
      <c r="D408" t="s">
        <v>22</v>
      </c>
      <c r="E408" t="b">
        <f>LEN(TRIM(D408))=0</f>
        <v>0</v>
      </c>
      <c r="F408" t="b">
        <f>EXACT(D408,PROPER(D408))</f>
        <v>1</v>
      </c>
      <c r="G408">
        <v>51</v>
      </c>
      <c r="H408" t="b">
        <f>LEN(TRIM(G408))=0</f>
        <v>0</v>
      </c>
      <c r="I408" t="s">
        <v>23</v>
      </c>
      <c r="J408" t="b">
        <f>EXACT(I408,PROPER(I408))</f>
        <v>1</v>
      </c>
      <c r="K408" t="s">
        <v>24</v>
      </c>
      <c r="L408" t="str">
        <f>TRIM(K408)</f>
        <v>HR</v>
      </c>
      <c r="M408" t="b">
        <f>K408&lt;&gt;L408</f>
        <v>0</v>
      </c>
      <c r="N408">
        <v>146508.51</v>
      </c>
      <c r="O408" t="b">
        <f>LEN(TRIM(N408))=0</f>
        <v>0</v>
      </c>
      <c r="P408" t="b">
        <f>AND(N408&gt;0, N408&lt;1000000)</f>
        <v>1</v>
      </c>
      <c r="Q408" t="s">
        <v>382</v>
      </c>
      <c r="R408" s="2" t="b">
        <f>LEN(TRIM(Q408))=0</f>
        <v>0</v>
      </c>
      <c r="S408" s="2" t="str">
        <f>IF(RIGHT(TRIM(Q408),9)="gmail.com","OK","Typo")</f>
        <v>OK</v>
      </c>
      <c r="T408" s="2" t="str">
        <f>A408&amp;D408&amp;G408&amp;I408&amp;K408&amp;N408&amp;Q408</f>
        <v>UsmanMale51QuettaHR146508.51usman13@gmail.com</v>
      </c>
      <c r="U408" s="2" t="b">
        <f>COUNTIF(T:T,T408)&gt;1</f>
        <v>0</v>
      </c>
    </row>
    <row r="409" spans="1:21">
      <c r="A409" t="s">
        <v>380</v>
      </c>
      <c r="B409" t="b">
        <f>LEN(TRIM(A409))=0</f>
        <v>0</v>
      </c>
      <c r="C409" t="b">
        <f>COUNTIF(A:A,A409)&gt;1</f>
        <v>1</v>
      </c>
      <c r="D409" t="s">
        <v>30</v>
      </c>
      <c r="E409" t="b">
        <f>LEN(TRIM(D409))=0</f>
        <v>0</v>
      </c>
      <c r="F409" t="b">
        <f>EXACT(D409,PROPER(D409))</f>
        <v>1</v>
      </c>
      <c r="H409" t="b">
        <f>LEN(TRIM(G409))=0</f>
        <v>1</v>
      </c>
      <c r="I409" t="s">
        <v>23</v>
      </c>
      <c r="J409" t="b">
        <f>EXACT(I409,PROPER(I409))</f>
        <v>1</v>
      </c>
      <c r="K409" t="s">
        <v>29</v>
      </c>
      <c r="L409" t="str">
        <f>TRIM(K409)</f>
        <v>Finance</v>
      </c>
      <c r="M409" t="b">
        <f>K409&lt;&gt;L409</f>
        <v>0</v>
      </c>
      <c r="O409" t="b">
        <f>LEN(TRIM(N409))=0</f>
        <v>1</v>
      </c>
      <c r="P409" t="b">
        <f>AND(N409&gt;0, N409&lt;1000000)</f>
        <v>0</v>
      </c>
      <c r="Q409" t="s">
        <v>383</v>
      </c>
      <c r="R409" s="2" t="b">
        <f>LEN(TRIM(Q409))=0</f>
        <v>0</v>
      </c>
      <c r="S409" s="2" t="str">
        <f>IF(RIGHT(TRIM(Q409),9)="gmail.com","OK","Typo")</f>
        <v>OK</v>
      </c>
      <c r="T409" s="2" t="str">
        <f>A409&amp;D409&amp;G409&amp;I409&amp;K409&amp;N409&amp;Q409</f>
        <v>UsmanFemaleQuettaFinanceusman14@gmail.com</v>
      </c>
      <c r="U409" s="2" t="b">
        <f>COUNTIF(T:T,T409)&gt;1</f>
        <v>0</v>
      </c>
    </row>
    <row r="410" spans="1:21">
      <c r="A410" t="s">
        <v>380</v>
      </c>
      <c r="B410" t="b">
        <f>LEN(TRIM(A410))=0</f>
        <v>0</v>
      </c>
      <c r="C410" t="b">
        <f>COUNTIF(A:A,A410)&gt;1</f>
        <v>1</v>
      </c>
      <c r="D410" t="s">
        <v>30</v>
      </c>
      <c r="E410" t="b">
        <f>LEN(TRIM(D410))=0</f>
        <v>0</v>
      </c>
      <c r="F410" t="b">
        <f>EXACT(D410,PROPER(D410))</f>
        <v>1</v>
      </c>
      <c r="H410" t="b">
        <f>LEN(TRIM(G410))=0</f>
        <v>1</v>
      </c>
      <c r="I410" t="s">
        <v>32</v>
      </c>
      <c r="J410" t="b">
        <f>EXACT(I410,PROPER(I410))</f>
        <v>1</v>
      </c>
      <c r="K410" t="s">
        <v>42</v>
      </c>
      <c r="L410" t="str">
        <f>TRIM(K410)</f>
        <v>IT</v>
      </c>
      <c r="M410" t="b">
        <f>K410&lt;&gt;L410</f>
        <v>0</v>
      </c>
      <c r="N410">
        <v>132153.37</v>
      </c>
      <c r="O410" t="b">
        <f>LEN(TRIM(N410))=0</f>
        <v>0</v>
      </c>
      <c r="P410" t="b">
        <f>AND(N410&gt;0, N410&lt;1000000)</f>
        <v>1</v>
      </c>
      <c r="Q410" t="s">
        <v>384</v>
      </c>
      <c r="R410" s="2" t="b">
        <f>LEN(TRIM(Q410))=0</f>
        <v>0</v>
      </c>
      <c r="S410" s="2" t="str">
        <f>IF(RIGHT(TRIM(Q410),9)="gmail.com","OK","Typo")</f>
        <v>OK</v>
      </c>
      <c r="T410" s="2" t="str">
        <f>A410&amp;D410&amp;G410&amp;I410&amp;K410&amp;N410&amp;Q410</f>
        <v>UsmanFemaleLahoreIT132153.37usman15@gmail.com</v>
      </c>
      <c r="U410" s="2" t="b">
        <f>COUNTIF(T:T,T410)&gt;1</f>
        <v>0</v>
      </c>
    </row>
    <row r="411" spans="1:21">
      <c r="A411" t="s">
        <v>380</v>
      </c>
      <c r="B411" t="b">
        <f>LEN(TRIM(A411))=0</f>
        <v>0</v>
      </c>
      <c r="C411" t="b">
        <f>COUNTIF(A:A,A411)&gt;1</f>
        <v>1</v>
      </c>
      <c r="D411" t="s">
        <v>22</v>
      </c>
      <c r="E411" t="b">
        <f>LEN(TRIM(D411))=0</f>
        <v>0</v>
      </c>
      <c r="F411" t="b">
        <f>EXACT(D411,PROPER(D411))</f>
        <v>1</v>
      </c>
      <c r="H411" t="b">
        <f>LEN(TRIM(G411))=0</f>
        <v>1</v>
      </c>
      <c r="I411" t="s">
        <v>101</v>
      </c>
      <c r="J411" t="b">
        <f>EXACT(I411,PROPER(I411))</f>
        <v>0</v>
      </c>
      <c r="K411" t="s">
        <v>29</v>
      </c>
      <c r="L411" t="str">
        <f>TRIM(K411)</f>
        <v>Finance</v>
      </c>
      <c r="M411" t="b">
        <f>K411&lt;&gt;L411</f>
        <v>0</v>
      </c>
      <c r="N411">
        <v>25041.66</v>
      </c>
      <c r="O411" t="b">
        <f>LEN(TRIM(N411))=0</f>
        <v>0</v>
      </c>
      <c r="P411" t="b">
        <f>AND(N411&gt;0, N411&lt;1000000)</f>
        <v>1</v>
      </c>
      <c r="Q411" t="s">
        <v>385</v>
      </c>
      <c r="R411" s="2" t="b">
        <f>LEN(TRIM(Q411))=0</f>
        <v>0</v>
      </c>
      <c r="S411" s="2" t="str">
        <f>IF(RIGHT(TRIM(Q411),9)="gmail.com","OK","Typo")</f>
        <v>OK</v>
      </c>
      <c r="T411" s="2" t="str">
        <f>A411&amp;D411&amp;G411&amp;I411&amp;K411&amp;N411&amp;Q411</f>
        <v>UsmanMalepeshawarFinance25041.66usman18@gmail.com</v>
      </c>
      <c r="U411" s="2" t="b">
        <f>COUNTIF(T:T,T411)&gt;1</f>
        <v>0</v>
      </c>
    </row>
    <row r="412" spans="1:21">
      <c r="A412" t="s">
        <v>380</v>
      </c>
      <c r="B412" t="b">
        <f>LEN(TRIM(A412))=0</f>
        <v>0</v>
      </c>
      <c r="C412" t="b">
        <f>COUNTIF(A:A,A412)&gt;1</f>
        <v>1</v>
      </c>
      <c r="D412" t="s">
        <v>22</v>
      </c>
      <c r="E412" t="b">
        <f>LEN(TRIM(D412))=0</f>
        <v>0</v>
      </c>
      <c r="F412" t="b">
        <f>EXACT(D412,PROPER(D412))</f>
        <v>1</v>
      </c>
      <c r="G412">
        <v>26</v>
      </c>
      <c r="H412" t="b">
        <f>LEN(TRIM(G412))=0</f>
        <v>0</v>
      </c>
      <c r="I412" t="s">
        <v>32</v>
      </c>
      <c r="J412" t="b">
        <f>EXACT(I412,PROPER(I412))</f>
        <v>1</v>
      </c>
      <c r="K412" t="s">
        <v>35</v>
      </c>
      <c r="L412" t="str">
        <f>TRIM(K412)</f>
        <v>Marketing</v>
      </c>
      <c r="M412" t="b">
        <f>K412&lt;&gt;L412</f>
        <v>0</v>
      </c>
      <c r="O412" t="b">
        <f>LEN(TRIM(N412))=0</f>
        <v>1</v>
      </c>
      <c r="P412" t="b">
        <f>AND(N412&gt;0, N412&lt;1000000)</f>
        <v>0</v>
      </c>
      <c r="Q412" t="s">
        <v>386</v>
      </c>
      <c r="R412" s="2" t="b">
        <f>LEN(TRIM(Q412))=0</f>
        <v>0</v>
      </c>
      <c r="S412" s="2" t="str">
        <f>IF(RIGHT(TRIM(Q412),9)="gmail.com","OK","Typo")</f>
        <v>OK</v>
      </c>
      <c r="T412" s="2" t="str">
        <f>A412&amp;D412&amp;G412&amp;I412&amp;K412&amp;N412&amp;Q412</f>
        <v>UsmanMale26LahoreMarketingusman2@gmail.com</v>
      </c>
      <c r="U412" s="2" t="b">
        <f>COUNTIF(T:T,T412)&gt;1</f>
        <v>0</v>
      </c>
    </row>
    <row r="413" spans="1:21">
      <c r="A413" t="s">
        <v>380</v>
      </c>
      <c r="B413" t="b">
        <f>LEN(TRIM(A413))=0</f>
        <v>0</v>
      </c>
      <c r="C413" t="b">
        <f>COUNTIF(A:A,A413)&gt;1</f>
        <v>1</v>
      </c>
      <c r="D413" t="s">
        <v>22</v>
      </c>
      <c r="E413" t="b">
        <f>LEN(TRIM(D413))=0</f>
        <v>0</v>
      </c>
      <c r="F413" t="b">
        <f>EXACT(D413,PROPER(D413))</f>
        <v>1</v>
      </c>
      <c r="H413" t="b">
        <f>LEN(TRIM(G413))=0</f>
        <v>1</v>
      </c>
      <c r="I413" t="s">
        <v>32</v>
      </c>
      <c r="J413" t="b">
        <f>EXACT(I413,PROPER(I413))</f>
        <v>1</v>
      </c>
      <c r="K413" t="s">
        <v>38</v>
      </c>
      <c r="L413" t="str">
        <f>TRIM(K413)</f>
        <v>Sales</v>
      </c>
      <c r="M413" t="b">
        <f>K413&lt;&gt;L413</f>
        <v>0</v>
      </c>
      <c r="N413">
        <v>107909.74</v>
      </c>
      <c r="O413" t="b">
        <f>LEN(TRIM(N413))=0</f>
        <v>0</v>
      </c>
      <c r="P413" t="b">
        <f>AND(N413&gt;0, N413&lt;1000000)</f>
        <v>1</v>
      </c>
      <c r="Q413" t="s">
        <v>387</v>
      </c>
      <c r="R413" s="2" t="b">
        <f>LEN(TRIM(Q413))=0</f>
        <v>0</v>
      </c>
      <c r="S413" s="2" t="str">
        <f>IF(RIGHT(TRIM(Q413),9)="gmail.com","OK","Typo")</f>
        <v>OK</v>
      </c>
      <c r="T413" s="2" t="str">
        <f>A413&amp;D413&amp;G413&amp;I413&amp;K413&amp;N413&amp;Q413</f>
        <v>UsmanMaleLahoreSales107909.74usman20@gmail.com</v>
      </c>
      <c r="U413" s="2" t="b">
        <f>COUNTIF(T:T,T413)&gt;1</f>
        <v>0</v>
      </c>
    </row>
    <row r="414" spans="1:21">
      <c r="A414" t="s">
        <v>380</v>
      </c>
      <c r="B414" t="b">
        <f>LEN(TRIM(A414))=0</f>
        <v>0</v>
      </c>
      <c r="C414" t="b">
        <f>COUNTIF(A:A,A414)&gt;1</f>
        <v>1</v>
      </c>
      <c r="D414" t="s">
        <v>22</v>
      </c>
      <c r="E414" t="b">
        <f>LEN(TRIM(D414))=0</f>
        <v>0</v>
      </c>
      <c r="F414" t="b">
        <f>EXACT(D414,PROPER(D414))</f>
        <v>1</v>
      </c>
      <c r="G414">
        <v>38</v>
      </c>
      <c r="H414" t="b">
        <f>LEN(TRIM(G414))=0</f>
        <v>0</v>
      </c>
      <c r="I414" t="s">
        <v>23</v>
      </c>
      <c r="J414" t="b">
        <f>EXACT(I414,PROPER(I414))</f>
        <v>1</v>
      </c>
      <c r="K414" t="s">
        <v>35</v>
      </c>
      <c r="L414" t="str">
        <f>TRIM(K414)</f>
        <v>Marketing</v>
      </c>
      <c r="M414" t="b">
        <f>K414&lt;&gt;L414</f>
        <v>0</v>
      </c>
      <c r="O414" t="b">
        <f>LEN(TRIM(N414))=0</f>
        <v>1</v>
      </c>
      <c r="P414" t="b">
        <f>AND(N414&gt;0, N414&lt;1000000)</f>
        <v>0</v>
      </c>
      <c r="Q414" t="s">
        <v>388</v>
      </c>
      <c r="R414" s="2" t="b">
        <f>LEN(TRIM(Q414))=0</f>
        <v>0</v>
      </c>
      <c r="S414" s="2" t="str">
        <f>IF(RIGHT(TRIM(Q414),9)="gmail.com","OK","Typo")</f>
        <v>OK</v>
      </c>
      <c r="T414" s="2" t="str">
        <f>A414&amp;D414&amp;G414&amp;I414&amp;K414&amp;N414&amp;Q414</f>
        <v>UsmanMale38QuettaMarketingusman21@gmail.com</v>
      </c>
      <c r="U414" s="2" t="b">
        <f>COUNTIF(T:T,T414)&gt;1</f>
        <v>0</v>
      </c>
    </row>
    <row r="415" spans="1:21">
      <c r="A415" t="s">
        <v>380</v>
      </c>
      <c r="B415" t="b">
        <f>LEN(TRIM(A415))=0</f>
        <v>0</v>
      </c>
      <c r="C415" t="b">
        <f>COUNTIF(A:A,A415)&gt;1</f>
        <v>1</v>
      </c>
      <c r="D415" t="s">
        <v>22</v>
      </c>
      <c r="E415" t="b">
        <f>LEN(TRIM(D415))=0</f>
        <v>0</v>
      </c>
      <c r="F415" t="b">
        <f>EXACT(D415,PROPER(D415))</f>
        <v>1</v>
      </c>
      <c r="G415">
        <v>58</v>
      </c>
      <c r="H415" t="b">
        <f>LEN(TRIM(G415))=0</f>
        <v>0</v>
      </c>
      <c r="I415" t="s">
        <v>23</v>
      </c>
      <c r="J415" t="b">
        <f>EXACT(I415,PROPER(I415))</f>
        <v>1</v>
      </c>
      <c r="K415" t="s">
        <v>38</v>
      </c>
      <c r="L415" t="str">
        <f>TRIM(K415)</f>
        <v>Sales</v>
      </c>
      <c r="M415" t="b">
        <f>K415&lt;&gt;L415</f>
        <v>0</v>
      </c>
      <c r="O415" t="b">
        <f>LEN(TRIM(N415))=0</f>
        <v>1</v>
      </c>
      <c r="P415" t="b">
        <f>AND(N415&gt;0, N415&lt;1000000)</f>
        <v>0</v>
      </c>
      <c r="Q415" t="s">
        <v>389</v>
      </c>
      <c r="R415" s="2" t="b">
        <f>LEN(TRIM(Q415))=0</f>
        <v>0</v>
      </c>
      <c r="S415" s="2" t="str">
        <f>IF(RIGHT(TRIM(Q415),9)="gmail.com","OK","Typo")</f>
        <v>OK</v>
      </c>
      <c r="T415" s="2" t="str">
        <f>A415&amp;D415&amp;G415&amp;I415&amp;K415&amp;N415&amp;Q415</f>
        <v>UsmanMale58QuettaSalesusman25@gmail.com</v>
      </c>
      <c r="U415" s="2" t="b">
        <f>COUNTIF(T:T,T415)&gt;1</f>
        <v>0</v>
      </c>
    </row>
    <row r="416" spans="1:21">
      <c r="A416" t="s">
        <v>380</v>
      </c>
      <c r="B416" t="b">
        <f>LEN(TRIM(A416))=0</f>
        <v>0</v>
      </c>
      <c r="C416" t="b">
        <f>COUNTIF(A:A,A416)&gt;1</f>
        <v>1</v>
      </c>
      <c r="D416" t="s">
        <v>22</v>
      </c>
      <c r="E416" t="b">
        <f>LEN(TRIM(D416))=0</f>
        <v>0</v>
      </c>
      <c r="F416" t="b">
        <f>EXACT(D416,PROPER(D416))</f>
        <v>1</v>
      </c>
      <c r="H416" t="b">
        <f>LEN(TRIM(G416))=0</f>
        <v>1</v>
      </c>
      <c r="I416" t="s">
        <v>31</v>
      </c>
      <c r="J416" t="b">
        <f>EXACT(I416,PROPER(I416))</f>
        <v>0</v>
      </c>
      <c r="K416" t="s">
        <v>42</v>
      </c>
      <c r="L416" t="str">
        <f>TRIM(K416)</f>
        <v>IT</v>
      </c>
      <c r="M416" t="b">
        <f>K416&lt;&gt;L416</f>
        <v>0</v>
      </c>
      <c r="O416" t="b">
        <f>LEN(TRIM(N416))=0</f>
        <v>1</v>
      </c>
      <c r="P416" t="b">
        <f>AND(N416&gt;0, N416&lt;1000000)</f>
        <v>0</v>
      </c>
      <c r="Q416" t="s">
        <v>390</v>
      </c>
      <c r="R416" s="2" t="b">
        <f>LEN(TRIM(Q416))=0</f>
        <v>0</v>
      </c>
      <c r="S416" s="2" t="str">
        <f>IF(RIGHT(TRIM(Q416),9)="gmail.com","OK","Typo")</f>
        <v>OK</v>
      </c>
      <c r="T416" s="2" t="str">
        <f>A416&amp;D416&amp;G416&amp;I416&amp;K416&amp;N416&amp;Q416</f>
        <v>UsmanMalequettaITusman28@gmail.com</v>
      </c>
      <c r="U416" s="2" t="b">
        <f>COUNTIF(T:T,T416)&gt;1</f>
        <v>0</v>
      </c>
    </row>
    <row r="417" spans="1:21">
      <c r="A417" t="s">
        <v>380</v>
      </c>
      <c r="B417" t="b">
        <f>LEN(TRIM(A417))=0</f>
        <v>0</v>
      </c>
      <c r="C417" t="b">
        <f>COUNTIF(A:A,A417)&gt;1</f>
        <v>1</v>
      </c>
      <c r="D417" t="s">
        <v>30</v>
      </c>
      <c r="E417" t="b">
        <f>LEN(TRIM(D417))=0</f>
        <v>0</v>
      </c>
      <c r="F417" t="b">
        <f>EXACT(D417,PROPER(D417))</f>
        <v>1</v>
      </c>
      <c r="H417" t="b">
        <f>LEN(TRIM(G417))=0</f>
        <v>1</v>
      </c>
      <c r="I417" t="s">
        <v>37</v>
      </c>
      <c r="J417" t="b">
        <f>EXACT(I417,PROPER(I417))</f>
        <v>1</v>
      </c>
      <c r="K417" t="s">
        <v>35</v>
      </c>
      <c r="L417" t="str">
        <f>TRIM(K417)</f>
        <v>Marketing</v>
      </c>
      <c r="M417" t="b">
        <f>K417&lt;&gt;L417</f>
        <v>0</v>
      </c>
      <c r="N417">
        <v>39515.870000000003</v>
      </c>
      <c r="O417" t="b">
        <f>LEN(TRIM(N417))=0</f>
        <v>0</v>
      </c>
      <c r="P417" t="b">
        <f>AND(N417&gt;0, N417&lt;1000000)</f>
        <v>1</v>
      </c>
      <c r="Q417" t="s">
        <v>391</v>
      </c>
      <c r="R417" s="2" t="b">
        <f>LEN(TRIM(Q417))=0</f>
        <v>0</v>
      </c>
      <c r="S417" s="2" t="str">
        <f>IF(RIGHT(TRIM(Q417),9)="gmail.com","OK","Typo")</f>
        <v>OK</v>
      </c>
      <c r="T417" s="2" t="str">
        <f>A417&amp;D417&amp;G417&amp;I417&amp;K417&amp;N417&amp;Q417</f>
        <v>UsmanFemaleIslamabadMarketing39515.87usman3@gmail.com</v>
      </c>
      <c r="U417" s="2" t="b">
        <f>COUNTIF(T:T,T417)&gt;1</f>
        <v>0</v>
      </c>
    </row>
    <row r="418" spans="1:21">
      <c r="A418" t="s">
        <v>380</v>
      </c>
      <c r="B418" t="b">
        <f>LEN(TRIM(A418))=0</f>
        <v>0</v>
      </c>
      <c r="C418" t="b">
        <f>COUNTIF(A:A,A418)&gt;1</f>
        <v>1</v>
      </c>
      <c r="D418" t="s">
        <v>22</v>
      </c>
      <c r="E418" t="b">
        <f>LEN(TRIM(D418))=0</f>
        <v>0</v>
      </c>
      <c r="F418" t="b">
        <f>EXACT(D418,PROPER(D418))</f>
        <v>1</v>
      </c>
      <c r="G418">
        <v>29</v>
      </c>
      <c r="H418" t="b">
        <f>LEN(TRIM(G418))=0</f>
        <v>0</v>
      </c>
      <c r="I418" t="s">
        <v>37</v>
      </c>
      <c r="J418" t="b">
        <f>EXACT(I418,PROPER(I418))</f>
        <v>1</v>
      </c>
      <c r="K418" t="s">
        <v>38</v>
      </c>
      <c r="L418" t="str">
        <f>TRIM(K418)</f>
        <v>Sales</v>
      </c>
      <c r="M418" t="b">
        <f>K418&lt;&gt;L418</f>
        <v>0</v>
      </c>
      <c r="O418" t="b">
        <f>LEN(TRIM(N418))=0</f>
        <v>1</v>
      </c>
      <c r="P418" t="b">
        <f>AND(N418&gt;0, N418&lt;1000000)</f>
        <v>0</v>
      </c>
      <c r="Q418" t="s">
        <v>391</v>
      </c>
      <c r="R418" s="2" t="b">
        <f>LEN(TRIM(Q418))=0</f>
        <v>0</v>
      </c>
      <c r="S418" s="2" t="str">
        <f>IF(RIGHT(TRIM(Q418),9)="gmail.com","OK","Typo")</f>
        <v>OK</v>
      </c>
      <c r="T418" s="2" t="str">
        <f>A418&amp;D418&amp;G418&amp;I418&amp;K418&amp;N418&amp;Q418</f>
        <v>UsmanMale29IslamabadSalesusman3@gmail.com</v>
      </c>
      <c r="U418" s="2" t="b">
        <f>COUNTIF(T:T,T418)&gt;1</f>
        <v>0</v>
      </c>
    </row>
    <row r="419" spans="1:21">
      <c r="A419" t="s">
        <v>380</v>
      </c>
      <c r="B419" t="b">
        <f>LEN(TRIM(A419))=0</f>
        <v>0</v>
      </c>
      <c r="C419" t="b">
        <f>COUNTIF(A:A,A419)&gt;1</f>
        <v>1</v>
      </c>
      <c r="D419" t="s">
        <v>30</v>
      </c>
      <c r="E419" t="b">
        <f>LEN(TRIM(D419))=0</f>
        <v>0</v>
      </c>
      <c r="F419" t="b">
        <f>EXACT(D419,PROPER(D419))</f>
        <v>1</v>
      </c>
      <c r="H419" t="b">
        <f>LEN(TRIM(G419))=0</f>
        <v>1</v>
      </c>
      <c r="I419" t="s">
        <v>32</v>
      </c>
      <c r="J419" t="b">
        <f>EXACT(I419,PROPER(I419))</f>
        <v>1</v>
      </c>
      <c r="K419" t="s">
        <v>24</v>
      </c>
      <c r="L419" t="str">
        <f>TRIM(K419)</f>
        <v>HR</v>
      </c>
      <c r="M419" t="b">
        <f>K419&lt;&gt;L419</f>
        <v>0</v>
      </c>
      <c r="N419">
        <v>144632.82</v>
      </c>
      <c r="O419" t="b">
        <f>LEN(TRIM(N419))=0</f>
        <v>0</v>
      </c>
      <c r="P419" t="b">
        <f>AND(N419&gt;0, N419&lt;1000000)</f>
        <v>1</v>
      </c>
      <c r="Q419" t="s">
        <v>392</v>
      </c>
      <c r="R419" s="2" t="b">
        <f>LEN(TRIM(Q419))=0</f>
        <v>0</v>
      </c>
      <c r="S419" s="2" t="str">
        <f>IF(RIGHT(TRIM(Q419),9)="gmail.com","OK","Typo")</f>
        <v>OK</v>
      </c>
      <c r="T419" s="2" t="str">
        <f>A419&amp;D419&amp;G419&amp;I419&amp;K419&amp;N419&amp;Q419</f>
        <v>UsmanFemaleLahoreHR144632.82usman30@gmail.com</v>
      </c>
      <c r="U419" s="2" t="b">
        <f>COUNTIF(T:T,T419)&gt;1</f>
        <v>0</v>
      </c>
    </row>
    <row r="420" spans="1:21">
      <c r="A420" t="s">
        <v>380</v>
      </c>
      <c r="B420" t="b">
        <f>LEN(TRIM(A420))=0</f>
        <v>0</v>
      </c>
      <c r="C420" t="b">
        <f>COUNTIF(A:A,A420)&gt;1</f>
        <v>1</v>
      </c>
      <c r="D420" t="s">
        <v>22</v>
      </c>
      <c r="E420" t="b">
        <f>LEN(TRIM(D420))=0</f>
        <v>0</v>
      </c>
      <c r="F420" t="b">
        <f>EXACT(D420,PROPER(D420))</f>
        <v>1</v>
      </c>
      <c r="G420">
        <v>47</v>
      </c>
      <c r="H420" t="b">
        <f>LEN(TRIM(G420))=0</f>
        <v>0</v>
      </c>
      <c r="I420" t="s">
        <v>28</v>
      </c>
      <c r="J420" t="b">
        <f>EXACT(I420,PROPER(I420))</f>
        <v>1</v>
      </c>
      <c r="K420" t="s">
        <v>42</v>
      </c>
      <c r="L420" t="str">
        <f>TRIM(K420)</f>
        <v>IT</v>
      </c>
      <c r="M420" t="b">
        <f>K420&lt;&gt;L420</f>
        <v>0</v>
      </c>
      <c r="O420" t="b">
        <f>LEN(TRIM(N420))=0</f>
        <v>1</v>
      </c>
      <c r="P420" t="b">
        <f>AND(N420&gt;0, N420&lt;1000000)</f>
        <v>0</v>
      </c>
      <c r="Q420" t="s">
        <v>393</v>
      </c>
      <c r="R420" s="2" t="b">
        <f>LEN(TRIM(Q420))=0</f>
        <v>0</v>
      </c>
      <c r="S420" s="2" t="str">
        <f>IF(RIGHT(TRIM(Q420),9)="gmail.com","OK","Typo")</f>
        <v>Typo</v>
      </c>
      <c r="T420" s="2" t="str">
        <f>A420&amp;D420&amp;G420&amp;I420&amp;K420&amp;N420&amp;Q420</f>
        <v>UsmanMale47KarachiITusman32@gamil.com</v>
      </c>
      <c r="U420" s="2" t="b">
        <f>COUNTIF(T:T,T420)&gt;1</f>
        <v>0</v>
      </c>
    </row>
    <row r="421" spans="1:21">
      <c r="A421" t="s">
        <v>380</v>
      </c>
      <c r="B421" t="b">
        <f>LEN(TRIM(A421))=0</f>
        <v>0</v>
      </c>
      <c r="C421" t="b">
        <f>COUNTIF(A:A,A421)&gt;1</f>
        <v>1</v>
      </c>
      <c r="D421" t="s">
        <v>30</v>
      </c>
      <c r="E421" t="b">
        <f>LEN(TRIM(D421))=0</f>
        <v>0</v>
      </c>
      <c r="F421" t="b">
        <f>EXACT(D421,PROPER(D421))</f>
        <v>1</v>
      </c>
      <c r="G421">
        <v>54</v>
      </c>
      <c r="H421" t="b">
        <f>LEN(TRIM(G421))=0</f>
        <v>0</v>
      </c>
      <c r="I421" t="s">
        <v>45</v>
      </c>
      <c r="J421" t="b">
        <f>EXACT(I421,PROPER(I421))</f>
        <v>1</v>
      </c>
      <c r="K421" t="s">
        <v>42</v>
      </c>
      <c r="L421" t="str">
        <f>TRIM(K421)</f>
        <v>IT</v>
      </c>
      <c r="M421" t="b">
        <f>K421&lt;&gt;L421</f>
        <v>0</v>
      </c>
      <c r="O421" t="b">
        <f>LEN(TRIM(N421))=0</f>
        <v>1</v>
      </c>
      <c r="P421" t="b">
        <f>AND(N421&gt;0, N421&lt;1000000)</f>
        <v>0</v>
      </c>
      <c r="Q421" t="s">
        <v>394</v>
      </c>
      <c r="R421" s="2" t="b">
        <f>LEN(TRIM(Q421))=0</f>
        <v>0</v>
      </c>
      <c r="S421" s="2" t="str">
        <f>IF(RIGHT(TRIM(Q421),9)="gmail.com","OK","Typo")</f>
        <v>OK</v>
      </c>
      <c r="T421" s="2" t="str">
        <f>A421&amp;D421&amp;G421&amp;I421&amp;K421&amp;N421&amp;Q421</f>
        <v>UsmanFemale54PeshawarITusman32@gmail.com</v>
      </c>
      <c r="U421" s="2" t="b">
        <f>COUNTIF(T:T,T421)&gt;1</f>
        <v>0</v>
      </c>
    </row>
    <row r="422" spans="1:21">
      <c r="A422" t="s">
        <v>380</v>
      </c>
      <c r="B422" t="b">
        <f>LEN(TRIM(A422))=0</f>
        <v>0</v>
      </c>
      <c r="C422" t="b">
        <f>COUNTIF(A:A,A422)&gt;1</f>
        <v>1</v>
      </c>
      <c r="D422" t="s">
        <v>30</v>
      </c>
      <c r="E422" t="b">
        <f>LEN(TRIM(D422))=0</f>
        <v>0</v>
      </c>
      <c r="F422" t="b">
        <f>EXACT(D422,PROPER(D422))</f>
        <v>1</v>
      </c>
      <c r="G422">
        <v>54</v>
      </c>
      <c r="H422" t="b">
        <f>LEN(TRIM(G422))=0</f>
        <v>0</v>
      </c>
      <c r="I422" t="s">
        <v>28</v>
      </c>
      <c r="J422" t="b">
        <f>EXACT(I422,PROPER(I422))</f>
        <v>1</v>
      </c>
      <c r="K422" t="s">
        <v>24</v>
      </c>
      <c r="L422" t="str">
        <f>TRIM(K422)</f>
        <v>HR</v>
      </c>
      <c r="M422" t="b">
        <f>K422&lt;&gt;L422</f>
        <v>0</v>
      </c>
      <c r="N422">
        <v>132377.16</v>
      </c>
      <c r="O422" t="b">
        <f>LEN(TRIM(N422))=0</f>
        <v>0</v>
      </c>
      <c r="P422" t="b">
        <f>AND(N422&gt;0, N422&lt;1000000)</f>
        <v>1</v>
      </c>
      <c r="Q422" t="s">
        <v>395</v>
      </c>
      <c r="R422" s="2" t="b">
        <f>LEN(TRIM(Q422))=0</f>
        <v>0</v>
      </c>
      <c r="S422" s="2" t="str">
        <f>IF(RIGHT(TRIM(Q422),9)="gmail.com","OK","Typo")</f>
        <v>OK</v>
      </c>
      <c r="T422" s="2" t="str">
        <f>A422&amp;D422&amp;G422&amp;I422&amp;K422&amp;N422&amp;Q422</f>
        <v>UsmanFemale54KarachiHR132377.16usman35@gmail.com</v>
      </c>
      <c r="U422" s="2" t="b">
        <f>COUNTIF(T:T,T422)&gt;1</f>
        <v>0</v>
      </c>
    </row>
    <row r="423" spans="1:21">
      <c r="A423" t="s">
        <v>380</v>
      </c>
      <c r="B423" t="b">
        <f>LEN(TRIM(A423))=0</f>
        <v>0</v>
      </c>
      <c r="C423" t="b">
        <f>COUNTIF(A:A,A423)&gt;1</f>
        <v>1</v>
      </c>
      <c r="D423" t="s">
        <v>22</v>
      </c>
      <c r="E423" t="b">
        <f>LEN(TRIM(D423))=0</f>
        <v>0</v>
      </c>
      <c r="F423" t="b">
        <f>EXACT(D423,PROPER(D423))</f>
        <v>1</v>
      </c>
      <c r="H423" t="b">
        <f>LEN(TRIM(G423))=0</f>
        <v>1</v>
      </c>
      <c r="I423" t="s">
        <v>23</v>
      </c>
      <c r="J423" t="b">
        <f>EXACT(I423,PROPER(I423))</f>
        <v>1</v>
      </c>
      <c r="K423" t="s">
        <v>38</v>
      </c>
      <c r="L423" t="str">
        <f>TRIM(K423)</f>
        <v>Sales</v>
      </c>
      <c r="M423" t="b">
        <f>K423&lt;&gt;L423</f>
        <v>0</v>
      </c>
      <c r="O423" t="b">
        <f>LEN(TRIM(N423))=0</f>
        <v>1</v>
      </c>
      <c r="P423" t="b">
        <f>AND(N423&gt;0, N423&lt;1000000)</f>
        <v>0</v>
      </c>
      <c r="Q423" t="s">
        <v>395</v>
      </c>
      <c r="R423" s="2" t="b">
        <f>LEN(TRIM(Q423))=0</f>
        <v>0</v>
      </c>
      <c r="S423" s="2" t="str">
        <f>IF(RIGHT(TRIM(Q423),9)="gmail.com","OK","Typo")</f>
        <v>OK</v>
      </c>
      <c r="T423" s="2" t="str">
        <f>A423&amp;D423&amp;G423&amp;I423&amp;K423&amp;N423&amp;Q423</f>
        <v>UsmanMaleQuettaSalesusman35@gmail.com</v>
      </c>
      <c r="U423" s="2" t="b">
        <f>COUNTIF(T:T,T423)&gt;1</f>
        <v>0</v>
      </c>
    </row>
    <row r="424" spans="1:21">
      <c r="A424" t="s">
        <v>380</v>
      </c>
      <c r="B424" t="b">
        <f>LEN(TRIM(A424))=0</f>
        <v>0</v>
      </c>
      <c r="C424" t="b">
        <f>COUNTIF(A:A,A424)&gt;1</f>
        <v>1</v>
      </c>
      <c r="D424" t="s">
        <v>22</v>
      </c>
      <c r="E424" t="b">
        <f>LEN(TRIM(D424))=0</f>
        <v>0</v>
      </c>
      <c r="F424" t="b">
        <f>EXACT(D424,PROPER(D424))</f>
        <v>1</v>
      </c>
      <c r="H424" t="b">
        <f>LEN(TRIM(G424))=0</f>
        <v>1</v>
      </c>
      <c r="I424" t="s">
        <v>45</v>
      </c>
      <c r="J424" t="b">
        <f>EXACT(I424,PROPER(I424))</f>
        <v>1</v>
      </c>
      <c r="K424" t="s">
        <v>24</v>
      </c>
      <c r="L424" t="str">
        <f>TRIM(K424)</f>
        <v>HR</v>
      </c>
      <c r="M424" t="b">
        <f>K424&lt;&gt;L424</f>
        <v>0</v>
      </c>
      <c r="O424" t="b">
        <f>LEN(TRIM(N424))=0</f>
        <v>1</v>
      </c>
      <c r="P424" t="b">
        <f>AND(N424&gt;0, N424&lt;1000000)</f>
        <v>0</v>
      </c>
      <c r="Q424" t="s">
        <v>396</v>
      </c>
      <c r="R424" s="2" t="b">
        <f>LEN(TRIM(Q424))=0</f>
        <v>0</v>
      </c>
      <c r="S424" s="2" t="str">
        <f>IF(RIGHT(TRIM(Q424),9)="gmail.com","OK","Typo")</f>
        <v>OK</v>
      </c>
      <c r="T424" s="2" t="str">
        <f>A424&amp;D424&amp;G424&amp;I424&amp;K424&amp;N424&amp;Q424</f>
        <v>UsmanMalePeshawarHRusman38@gmail.com</v>
      </c>
      <c r="U424" s="2" t="b">
        <f>COUNTIF(T:T,T424)&gt;1</f>
        <v>0</v>
      </c>
    </row>
    <row r="425" spans="1:21">
      <c r="A425" t="s">
        <v>380</v>
      </c>
      <c r="B425" t="b">
        <f>LEN(TRIM(A425))=0</f>
        <v>0</v>
      </c>
      <c r="C425" t="b">
        <f>COUNTIF(A:A,A425)&gt;1</f>
        <v>1</v>
      </c>
      <c r="D425" t="s">
        <v>30</v>
      </c>
      <c r="E425" t="b">
        <f>LEN(TRIM(D425))=0</f>
        <v>0</v>
      </c>
      <c r="F425" t="b">
        <f>EXACT(D425,PROPER(D425))</f>
        <v>1</v>
      </c>
      <c r="H425" t="b">
        <f>LEN(TRIM(G425))=0</f>
        <v>1</v>
      </c>
      <c r="I425" t="s">
        <v>28</v>
      </c>
      <c r="J425" t="b">
        <f>EXACT(I425,PROPER(I425))</f>
        <v>1</v>
      </c>
      <c r="K425" t="s">
        <v>42</v>
      </c>
      <c r="L425" t="str">
        <f>TRIM(K425)</f>
        <v>IT</v>
      </c>
      <c r="M425" t="b">
        <f>K425&lt;&gt;L425</f>
        <v>0</v>
      </c>
      <c r="O425" t="b">
        <f>LEN(TRIM(N425))=0</f>
        <v>1</v>
      </c>
      <c r="P425" t="b">
        <f>AND(N425&gt;0, N425&lt;1000000)</f>
        <v>0</v>
      </c>
      <c r="Q425" t="s">
        <v>396</v>
      </c>
      <c r="R425" s="2" t="b">
        <f>LEN(TRIM(Q425))=0</f>
        <v>0</v>
      </c>
      <c r="S425" s="2" t="str">
        <f>IF(RIGHT(TRIM(Q425),9)="gmail.com","OK","Typo")</f>
        <v>OK</v>
      </c>
      <c r="T425" s="2" t="str">
        <f>A425&amp;D425&amp;G425&amp;I425&amp;K425&amp;N425&amp;Q425</f>
        <v>UsmanFemaleKarachiITusman38@gmail.com</v>
      </c>
      <c r="U425" s="2" t="b">
        <f>COUNTIF(T:T,T425)&gt;1</f>
        <v>0</v>
      </c>
    </row>
    <row r="426" spans="1:21">
      <c r="A426" t="s">
        <v>380</v>
      </c>
      <c r="B426" t="b">
        <f>LEN(TRIM(A426))=0</f>
        <v>0</v>
      </c>
      <c r="C426" t="b">
        <f>COUNTIF(A:A,A426)&gt;1</f>
        <v>1</v>
      </c>
      <c r="D426" t="s">
        <v>22</v>
      </c>
      <c r="E426" t="b">
        <f>LEN(TRIM(D426))=0</f>
        <v>0</v>
      </c>
      <c r="F426" t="b">
        <f>EXACT(D426,PROPER(D426))</f>
        <v>1</v>
      </c>
      <c r="H426" t="b">
        <f>LEN(TRIM(G426))=0</f>
        <v>1</v>
      </c>
      <c r="I426" t="s">
        <v>28</v>
      </c>
      <c r="J426" t="b">
        <f>EXACT(I426,PROPER(I426))</f>
        <v>1</v>
      </c>
      <c r="K426" t="s">
        <v>33</v>
      </c>
      <c r="L426" t="str">
        <f>TRIM(K426)</f>
        <v>IT</v>
      </c>
      <c r="M426" t="b">
        <f>K426&lt;&gt;L426</f>
        <v>1</v>
      </c>
      <c r="N426">
        <v>31835.27</v>
      </c>
      <c r="O426" t="b">
        <f>LEN(TRIM(N426))=0</f>
        <v>0</v>
      </c>
      <c r="P426" t="b">
        <f>AND(N426&gt;0, N426&lt;1000000)</f>
        <v>1</v>
      </c>
      <c r="Q426" t="s">
        <v>397</v>
      </c>
      <c r="R426" s="2" t="b">
        <f>LEN(TRIM(Q426))=0</f>
        <v>0</v>
      </c>
      <c r="S426" s="2" t="str">
        <f>IF(RIGHT(TRIM(Q426),9)="gmail.com","OK","Typo")</f>
        <v>OK</v>
      </c>
      <c r="T426" s="2" t="str">
        <f>A426&amp;D426&amp;G426&amp;I426&amp;K426&amp;N426&amp;Q426</f>
        <v>UsmanMaleKarachi IT 31835.27usman41@gmail.com</v>
      </c>
      <c r="U426" s="2" t="b">
        <f>COUNTIF(T:T,T426)&gt;1</f>
        <v>0</v>
      </c>
    </row>
    <row r="427" spans="1:21">
      <c r="A427" t="s">
        <v>380</v>
      </c>
      <c r="B427" t="b">
        <f>LEN(TRIM(A427))=0</f>
        <v>0</v>
      </c>
      <c r="C427" t="b">
        <f>COUNTIF(A:A,A427)&gt;1</f>
        <v>1</v>
      </c>
      <c r="D427" t="s">
        <v>22</v>
      </c>
      <c r="E427" t="b">
        <f>LEN(TRIM(D427))=0</f>
        <v>0</v>
      </c>
      <c r="F427" t="b">
        <f>EXACT(D427,PROPER(D427))</f>
        <v>1</v>
      </c>
      <c r="H427" t="b">
        <f>LEN(TRIM(G427))=0</f>
        <v>1</v>
      </c>
      <c r="I427" t="s">
        <v>37</v>
      </c>
      <c r="J427" t="b">
        <f>EXACT(I427,PROPER(I427))</f>
        <v>1</v>
      </c>
      <c r="K427" t="s">
        <v>24</v>
      </c>
      <c r="L427" t="str">
        <f>TRIM(K427)</f>
        <v>HR</v>
      </c>
      <c r="M427" t="b">
        <f>K427&lt;&gt;L427</f>
        <v>0</v>
      </c>
      <c r="N427">
        <v>133942.73000000001</v>
      </c>
      <c r="O427" t="b">
        <f>LEN(TRIM(N427))=0</f>
        <v>0</v>
      </c>
      <c r="P427" t="b">
        <f>AND(N427&gt;0, N427&lt;1000000)</f>
        <v>1</v>
      </c>
      <c r="Q427" t="s">
        <v>398</v>
      </c>
      <c r="R427" s="2" t="b">
        <f>LEN(TRIM(Q427))=0</f>
        <v>0</v>
      </c>
      <c r="S427" s="2" t="str">
        <f>IF(RIGHT(TRIM(Q427),9)="gmail.com","OK","Typo")</f>
        <v>OK</v>
      </c>
      <c r="T427" s="2" t="str">
        <f>A427&amp;D427&amp;G427&amp;I427&amp;K427&amp;N427&amp;Q427</f>
        <v>UsmanMaleIslamabadHR133942.73usman46@gmail.com</v>
      </c>
      <c r="U427" s="2" t="b">
        <f>COUNTIF(T:T,T427)&gt;1</f>
        <v>0</v>
      </c>
    </row>
    <row r="428" spans="1:21">
      <c r="A428" t="s">
        <v>380</v>
      </c>
      <c r="B428" t="b">
        <f>LEN(TRIM(A428))=0</f>
        <v>0</v>
      </c>
      <c r="C428" t="b">
        <f>COUNTIF(A:A,A428)&gt;1</f>
        <v>1</v>
      </c>
      <c r="D428" t="s">
        <v>22</v>
      </c>
      <c r="E428" t="b">
        <f>LEN(TRIM(D428))=0</f>
        <v>0</v>
      </c>
      <c r="F428" t="b">
        <f>EXACT(D428,PROPER(D428))</f>
        <v>1</v>
      </c>
      <c r="H428" t="b">
        <f>LEN(TRIM(G428))=0</f>
        <v>1</v>
      </c>
      <c r="I428" t="s">
        <v>45</v>
      </c>
      <c r="J428" t="b">
        <f>EXACT(I428,PROPER(I428))</f>
        <v>1</v>
      </c>
      <c r="K428" t="s">
        <v>42</v>
      </c>
      <c r="L428" t="str">
        <f>TRIM(K428)</f>
        <v>IT</v>
      </c>
      <c r="M428" t="b">
        <f>K428&lt;&gt;L428</f>
        <v>0</v>
      </c>
      <c r="O428" t="b">
        <f>LEN(TRIM(N428))=0</f>
        <v>1</v>
      </c>
      <c r="P428" t="b">
        <f>AND(N428&gt;0, N428&lt;1000000)</f>
        <v>0</v>
      </c>
      <c r="Q428" t="s">
        <v>399</v>
      </c>
      <c r="R428" s="2" t="b">
        <f>LEN(TRIM(Q428))=0</f>
        <v>0</v>
      </c>
      <c r="S428" s="2" t="str">
        <f>IF(RIGHT(TRIM(Q428),9)="gmail.com","OK","Typo")</f>
        <v>OK</v>
      </c>
      <c r="T428" s="2" t="str">
        <f>A428&amp;D428&amp;G428&amp;I428&amp;K428&amp;N428&amp;Q428</f>
        <v>UsmanMalePeshawarITusman48@gmail.com</v>
      </c>
      <c r="U428" s="2" t="b">
        <f>COUNTIF(T:T,T428)&gt;1</f>
        <v>0</v>
      </c>
    </row>
    <row r="429" spans="1:21">
      <c r="A429" t="s">
        <v>380</v>
      </c>
      <c r="B429" t="b">
        <f>LEN(TRIM(A429))=0</f>
        <v>0</v>
      </c>
      <c r="C429" t="b">
        <f>COUNTIF(A:A,A429)&gt;1</f>
        <v>1</v>
      </c>
      <c r="D429" t="s">
        <v>30</v>
      </c>
      <c r="E429" t="b">
        <f>LEN(TRIM(D429))=0</f>
        <v>0</v>
      </c>
      <c r="F429" t="b">
        <f>EXACT(D429,PROPER(D429))</f>
        <v>1</v>
      </c>
      <c r="H429" t="b">
        <f>LEN(TRIM(G429))=0</f>
        <v>1</v>
      </c>
      <c r="I429" t="s">
        <v>32</v>
      </c>
      <c r="J429" t="b">
        <f>EXACT(I429,PROPER(I429))</f>
        <v>1</v>
      </c>
      <c r="K429" t="s">
        <v>35</v>
      </c>
      <c r="L429" t="str">
        <f>TRIM(K429)</f>
        <v>Marketing</v>
      </c>
      <c r="M429" t="b">
        <f>K429&lt;&gt;L429</f>
        <v>0</v>
      </c>
      <c r="N429">
        <v>74664.789999999994</v>
      </c>
      <c r="O429" t="b">
        <f>LEN(TRIM(N429))=0</f>
        <v>0</v>
      </c>
      <c r="P429" t="b">
        <f>AND(N429&gt;0, N429&lt;1000000)</f>
        <v>1</v>
      </c>
      <c r="Q429" t="s">
        <v>400</v>
      </c>
      <c r="R429" s="2" t="b">
        <f>LEN(TRIM(Q429))=0</f>
        <v>0</v>
      </c>
      <c r="S429" s="2" t="str">
        <f>IF(RIGHT(TRIM(Q429),9)="gmail.com","OK","Typo")</f>
        <v>OK</v>
      </c>
      <c r="T429" s="2" t="str">
        <f>A429&amp;D429&amp;G429&amp;I429&amp;K429&amp;N429&amp;Q429</f>
        <v>UsmanFemaleLahoreMarketing74664.79usman52@gmail.com</v>
      </c>
      <c r="U429" s="2" t="b">
        <f>COUNTIF(T:T,T429)&gt;1</f>
        <v>0</v>
      </c>
    </row>
    <row r="430" spans="1:21">
      <c r="A430" t="s">
        <v>380</v>
      </c>
      <c r="B430" t="b">
        <f>LEN(TRIM(A430))=0</f>
        <v>0</v>
      </c>
      <c r="C430" t="b">
        <f>COUNTIF(A:A,A430)&gt;1</f>
        <v>1</v>
      </c>
      <c r="D430" t="s">
        <v>22</v>
      </c>
      <c r="E430" t="b">
        <f>LEN(TRIM(D430))=0</f>
        <v>0</v>
      </c>
      <c r="F430" t="b">
        <f>EXACT(D430,PROPER(D430))</f>
        <v>1</v>
      </c>
      <c r="G430">
        <v>21</v>
      </c>
      <c r="H430" t="b">
        <f>LEN(TRIM(G430))=0</f>
        <v>0</v>
      </c>
      <c r="I430" t="s">
        <v>45</v>
      </c>
      <c r="J430" t="b">
        <f>EXACT(I430,PROPER(I430))</f>
        <v>1</v>
      </c>
      <c r="K430" t="s">
        <v>42</v>
      </c>
      <c r="L430" t="str">
        <f>TRIM(K430)</f>
        <v>IT</v>
      </c>
      <c r="M430" t="b">
        <f>K430&lt;&gt;L430</f>
        <v>0</v>
      </c>
      <c r="N430">
        <v>138967.60999999999</v>
      </c>
      <c r="O430" t="b">
        <f>LEN(TRIM(N430))=0</f>
        <v>0</v>
      </c>
      <c r="P430" t="b">
        <f>AND(N430&gt;0, N430&lt;1000000)</f>
        <v>1</v>
      </c>
      <c r="Q430" t="s">
        <v>401</v>
      </c>
      <c r="R430" s="2" t="b">
        <f>LEN(TRIM(Q430))=0</f>
        <v>0</v>
      </c>
      <c r="S430" s="2" t="str">
        <f>IF(RIGHT(TRIM(Q430),9)="gmail.com","OK","Typo")</f>
        <v>OK</v>
      </c>
      <c r="T430" s="2" t="str">
        <f>A430&amp;D430&amp;G430&amp;I430&amp;K430&amp;N430&amp;Q430</f>
        <v>UsmanMale21PeshawarIT138967.61usman54@gmail.com</v>
      </c>
      <c r="U430" s="2" t="b">
        <f>COUNTIF(T:T,T430)&gt;1</f>
        <v>0</v>
      </c>
    </row>
    <row r="431" spans="1:21">
      <c r="A431" t="s">
        <v>380</v>
      </c>
      <c r="B431" t="b">
        <f>LEN(TRIM(A431))=0</f>
        <v>0</v>
      </c>
      <c r="C431" t="b">
        <f>COUNTIF(A:A,A431)&gt;1</f>
        <v>1</v>
      </c>
      <c r="D431" t="s">
        <v>22</v>
      </c>
      <c r="E431" t="b">
        <f>LEN(TRIM(D431))=0</f>
        <v>0</v>
      </c>
      <c r="F431" t="b">
        <f>EXACT(D431,PROPER(D431))</f>
        <v>1</v>
      </c>
      <c r="H431" t="b">
        <f>LEN(TRIM(G431))=0</f>
        <v>1</v>
      </c>
      <c r="I431" t="s">
        <v>28</v>
      </c>
      <c r="J431" t="b">
        <f>EXACT(I431,PROPER(I431))</f>
        <v>1</v>
      </c>
      <c r="K431" t="s">
        <v>42</v>
      </c>
      <c r="L431" t="str">
        <f>TRIM(K431)</f>
        <v>IT</v>
      </c>
      <c r="M431" t="b">
        <f>K431&lt;&gt;L431</f>
        <v>0</v>
      </c>
      <c r="N431">
        <v>62039.77</v>
      </c>
      <c r="O431" t="b">
        <f>LEN(TRIM(N431))=0</f>
        <v>0</v>
      </c>
      <c r="P431" t="b">
        <f>AND(N431&gt;0, N431&lt;1000000)</f>
        <v>1</v>
      </c>
      <c r="Q431" t="s">
        <v>402</v>
      </c>
      <c r="R431" s="2" t="b">
        <f>LEN(TRIM(Q431))=0</f>
        <v>0</v>
      </c>
      <c r="S431" s="2" t="str">
        <f>IF(RIGHT(TRIM(Q431),9)="gmail.com","OK","Typo")</f>
        <v>OK</v>
      </c>
      <c r="T431" s="2" t="str">
        <f>A431&amp;D431&amp;G431&amp;I431&amp;K431&amp;N431&amp;Q431</f>
        <v>UsmanMaleKarachiIT62039.77usman57@gmail.com</v>
      </c>
      <c r="U431" s="2" t="b">
        <f>COUNTIF(T:T,T431)&gt;1</f>
        <v>0</v>
      </c>
    </row>
    <row r="432" spans="1:21">
      <c r="A432" t="s">
        <v>380</v>
      </c>
      <c r="B432" t="b">
        <f>LEN(TRIM(A432))=0</f>
        <v>0</v>
      </c>
      <c r="C432" t="b">
        <f>COUNTIF(A:A,A432)&gt;1</f>
        <v>1</v>
      </c>
      <c r="D432" t="s">
        <v>30</v>
      </c>
      <c r="E432" t="b">
        <f>LEN(TRIM(D432))=0</f>
        <v>0</v>
      </c>
      <c r="F432" t="b">
        <f>EXACT(D432,PROPER(D432))</f>
        <v>1</v>
      </c>
      <c r="H432" t="b">
        <f>LEN(TRIM(G432))=0</f>
        <v>1</v>
      </c>
      <c r="I432" t="s">
        <v>45</v>
      </c>
      <c r="J432" t="b">
        <f>EXACT(I432,PROPER(I432))</f>
        <v>1</v>
      </c>
      <c r="K432" t="s">
        <v>38</v>
      </c>
      <c r="L432" t="str">
        <f>TRIM(K432)</f>
        <v>Sales</v>
      </c>
      <c r="M432" t="b">
        <f>K432&lt;&gt;L432</f>
        <v>0</v>
      </c>
      <c r="O432" t="b">
        <f>LEN(TRIM(N432))=0</f>
        <v>1</v>
      </c>
      <c r="P432" t="b">
        <f>AND(N432&gt;0, N432&lt;1000000)</f>
        <v>0</v>
      </c>
      <c r="Q432" t="s">
        <v>403</v>
      </c>
      <c r="R432" s="2" t="b">
        <f>LEN(TRIM(Q432))=0</f>
        <v>0</v>
      </c>
      <c r="S432" s="2" t="str">
        <f>IF(RIGHT(TRIM(Q432),9)="gmail.com","OK","Typo")</f>
        <v>OK</v>
      </c>
      <c r="T432" s="2" t="str">
        <f>A432&amp;D432&amp;G432&amp;I432&amp;K432&amp;N432&amp;Q432</f>
        <v>UsmanFemalePeshawarSalesusman58@gmail.com</v>
      </c>
      <c r="U432" s="2" t="b">
        <f>COUNTIF(T:T,T432)&gt;1</f>
        <v>0</v>
      </c>
    </row>
    <row r="433" spans="1:21">
      <c r="A433" t="s">
        <v>380</v>
      </c>
      <c r="B433" t="b">
        <f>LEN(TRIM(A433))=0</f>
        <v>0</v>
      </c>
      <c r="C433" t="b">
        <f>COUNTIF(A:A,A433)&gt;1</f>
        <v>1</v>
      </c>
      <c r="D433" t="s">
        <v>22</v>
      </c>
      <c r="E433" t="b">
        <f>LEN(TRIM(D433))=0</f>
        <v>0</v>
      </c>
      <c r="F433" t="b">
        <f>EXACT(D433,PROPER(D433))</f>
        <v>1</v>
      </c>
      <c r="G433">
        <v>42</v>
      </c>
      <c r="H433" t="b">
        <f>LEN(TRIM(G433))=0</f>
        <v>0</v>
      </c>
      <c r="I433" t="s">
        <v>157</v>
      </c>
      <c r="J433" t="b">
        <f>EXACT(I433,PROPER(I433))</f>
        <v>0</v>
      </c>
      <c r="K433" t="s">
        <v>35</v>
      </c>
      <c r="L433" t="str">
        <f>TRIM(K433)</f>
        <v>Marketing</v>
      </c>
      <c r="M433" t="b">
        <f>K433&lt;&gt;L433</f>
        <v>0</v>
      </c>
      <c r="O433" t="b">
        <f>LEN(TRIM(N433))=0</f>
        <v>1</v>
      </c>
      <c r="P433" t="b">
        <f>AND(N433&gt;0, N433&lt;1000000)</f>
        <v>0</v>
      </c>
      <c r="Q433" t="s">
        <v>404</v>
      </c>
      <c r="R433" s="2" t="b">
        <f>LEN(TRIM(Q433))=0</f>
        <v>0</v>
      </c>
      <c r="S433" s="2" t="str">
        <f>IF(RIGHT(TRIM(Q433),9)="gmail.com","OK","Typo")</f>
        <v>OK</v>
      </c>
      <c r="T433" s="2" t="str">
        <f>A433&amp;D433&amp;G433&amp;I433&amp;K433&amp;N433&amp;Q433</f>
        <v>UsmanMale42islamabadMarketingusman59@gmail.com</v>
      </c>
      <c r="U433" s="2" t="b">
        <f>COUNTIF(T:T,T433)&gt;1</f>
        <v>0</v>
      </c>
    </row>
    <row r="434" spans="1:21">
      <c r="A434" t="s">
        <v>380</v>
      </c>
      <c r="B434" t="b">
        <f>LEN(TRIM(A434))=0</f>
        <v>0</v>
      </c>
      <c r="C434" t="b">
        <f>COUNTIF(A:A,A434)&gt;1</f>
        <v>1</v>
      </c>
      <c r="D434" t="s">
        <v>22</v>
      </c>
      <c r="E434" t="b">
        <f>LEN(TRIM(D434))=0</f>
        <v>0</v>
      </c>
      <c r="F434" t="b">
        <f>EXACT(D434,PROPER(D434))</f>
        <v>1</v>
      </c>
      <c r="G434">
        <v>60</v>
      </c>
      <c r="H434" t="b">
        <f>LEN(TRIM(G434))=0</f>
        <v>0</v>
      </c>
      <c r="I434" t="s">
        <v>45</v>
      </c>
      <c r="J434" t="b">
        <f>EXACT(I434,PROPER(I434))</f>
        <v>1</v>
      </c>
      <c r="K434" t="s">
        <v>35</v>
      </c>
      <c r="L434" t="str">
        <f>TRIM(K434)</f>
        <v>Marketing</v>
      </c>
      <c r="M434" t="b">
        <f>K434&lt;&gt;L434</f>
        <v>0</v>
      </c>
      <c r="N434">
        <v>91901.759999999995</v>
      </c>
      <c r="O434" t="b">
        <f>LEN(TRIM(N434))=0</f>
        <v>0</v>
      </c>
      <c r="P434" t="b">
        <f>AND(N434&gt;0, N434&lt;1000000)</f>
        <v>1</v>
      </c>
      <c r="Q434" t="s">
        <v>405</v>
      </c>
      <c r="R434" s="2" t="b">
        <f>LEN(TRIM(Q434))=0</f>
        <v>0</v>
      </c>
      <c r="S434" s="2" t="str">
        <f>IF(RIGHT(TRIM(Q434),9)="gmail.com","OK","Typo")</f>
        <v>OK</v>
      </c>
      <c r="T434" s="2" t="str">
        <f>A434&amp;D434&amp;G434&amp;I434&amp;K434&amp;N434&amp;Q434</f>
        <v>UsmanMale60PeshawarMarketing91901.76usman61@gmail.com</v>
      </c>
      <c r="U434" s="2" t="b">
        <f>COUNTIF(T:T,T434)&gt;1</f>
        <v>0</v>
      </c>
    </row>
    <row r="435" spans="1:21">
      <c r="A435" t="s">
        <v>380</v>
      </c>
      <c r="B435" t="b">
        <f>LEN(TRIM(A435))=0</f>
        <v>0</v>
      </c>
      <c r="C435" t="b">
        <f>COUNTIF(A:A,A435)&gt;1</f>
        <v>1</v>
      </c>
      <c r="D435" t="s">
        <v>22</v>
      </c>
      <c r="E435" t="b">
        <f>LEN(TRIM(D435))=0</f>
        <v>0</v>
      </c>
      <c r="F435" t="b">
        <f>EXACT(D435,PROPER(D435))</f>
        <v>1</v>
      </c>
      <c r="G435">
        <v>45</v>
      </c>
      <c r="H435" t="b">
        <f>LEN(TRIM(G435))=0</f>
        <v>0</v>
      </c>
      <c r="I435" t="s">
        <v>101</v>
      </c>
      <c r="J435" t="b">
        <f>EXACT(I435,PROPER(I435))</f>
        <v>0</v>
      </c>
      <c r="K435" t="s">
        <v>35</v>
      </c>
      <c r="L435" t="str">
        <f>TRIM(K435)</f>
        <v>Marketing</v>
      </c>
      <c r="M435" t="b">
        <f>K435&lt;&gt;L435</f>
        <v>0</v>
      </c>
      <c r="N435">
        <v>71939.360000000001</v>
      </c>
      <c r="O435" t="b">
        <f>LEN(TRIM(N435))=0</f>
        <v>0</v>
      </c>
      <c r="P435" t="b">
        <f>AND(N435&gt;0, N435&lt;1000000)</f>
        <v>1</v>
      </c>
      <c r="Q435" t="s">
        <v>406</v>
      </c>
      <c r="R435" s="2" t="b">
        <f>LEN(TRIM(Q435))=0</f>
        <v>0</v>
      </c>
      <c r="S435" s="2" t="str">
        <f>IF(RIGHT(TRIM(Q435),9)="gmail.com","OK","Typo")</f>
        <v>OK</v>
      </c>
      <c r="T435" s="2" t="str">
        <f>A435&amp;D435&amp;G435&amp;I435&amp;K435&amp;N435&amp;Q435</f>
        <v>UsmanMale45peshawarMarketing71939.36usman65@gmail.com</v>
      </c>
      <c r="U435" s="2" t="b">
        <f>COUNTIF(T:T,T435)&gt;1</f>
        <v>0</v>
      </c>
    </row>
    <row r="436" spans="1:21">
      <c r="A436" t="s">
        <v>380</v>
      </c>
      <c r="B436" t="b">
        <f>LEN(TRIM(A436))=0</f>
        <v>0</v>
      </c>
      <c r="C436" t="b">
        <f>COUNTIF(A:A,A436)&gt;1</f>
        <v>1</v>
      </c>
      <c r="D436" t="s">
        <v>22</v>
      </c>
      <c r="E436" t="b">
        <f>LEN(TRIM(D436))=0</f>
        <v>0</v>
      </c>
      <c r="F436" t="b">
        <f>EXACT(D436,PROPER(D436))</f>
        <v>1</v>
      </c>
      <c r="G436">
        <v>26</v>
      </c>
      <c r="H436" t="b">
        <f>LEN(TRIM(G436))=0</f>
        <v>0</v>
      </c>
      <c r="I436" t="s">
        <v>32</v>
      </c>
      <c r="J436" t="b">
        <f>EXACT(I436,PROPER(I436))</f>
        <v>1</v>
      </c>
      <c r="K436" t="s">
        <v>24</v>
      </c>
      <c r="L436" t="str">
        <f>TRIM(K436)</f>
        <v>HR</v>
      </c>
      <c r="M436" t="b">
        <f>K436&lt;&gt;L436</f>
        <v>0</v>
      </c>
      <c r="O436" t="b">
        <f>LEN(TRIM(N436))=0</f>
        <v>1</v>
      </c>
      <c r="P436" t="b">
        <f>AND(N436&gt;0, N436&lt;1000000)</f>
        <v>0</v>
      </c>
      <c r="Q436" t="s">
        <v>407</v>
      </c>
      <c r="R436" s="2" t="b">
        <f>LEN(TRIM(Q436))=0</f>
        <v>0</v>
      </c>
      <c r="S436" s="2" t="str">
        <f>IF(RIGHT(TRIM(Q436),9)="gmail.com","OK","Typo")</f>
        <v>OK</v>
      </c>
      <c r="T436" s="2" t="str">
        <f>A436&amp;D436&amp;G436&amp;I436&amp;K436&amp;N436&amp;Q436</f>
        <v>UsmanMale26LahoreHRusman66@gmail.com</v>
      </c>
      <c r="U436" s="2" t="b">
        <f>COUNTIF(T:T,T436)&gt;1</f>
        <v>0</v>
      </c>
    </row>
    <row r="437" spans="1:21">
      <c r="A437" t="s">
        <v>380</v>
      </c>
      <c r="B437" t="b">
        <f>LEN(TRIM(A437))=0</f>
        <v>0</v>
      </c>
      <c r="C437" t="b">
        <f>COUNTIF(A:A,A437)&gt;1</f>
        <v>1</v>
      </c>
      <c r="D437" t="s">
        <v>30</v>
      </c>
      <c r="E437" t="b">
        <f>LEN(TRIM(D437))=0</f>
        <v>0</v>
      </c>
      <c r="F437" t="b">
        <f>EXACT(D437,PROPER(D437))</f>
        <v>1</v>
      </c>
      <c r="H437" t="b">
        <f>LEN(TRIM(G437))=0</f>
        <v>1</v>
      </c>
      <c r="I437" t="s">
        <v>37</v>
      </c>
      <c r="J437" t="b">
        <f>EXACT(I437,PROPER(I437))</f>
        <v>1</v>
      </c>
      <c r="K437" t="s">
        <v>74</v>
      </c>
      <c r="L437" t="str">
        <f>TRIM(K437)</f>
        <v>Marketing</v>
      </c>
      <c r="M437" t="b">
        <f>K437&lt;&gt;L437</f>
        <v>1</v>
      </c>
      <c r="O437" t="b">
        <f>LEN(TRIM(N437))=0</f>
        <v>1</v>
      </c>
      <c r="P437" t="b">
        <f>AND(N437&gt;0, N437&lt;1000000)</f>
        <v>0</v>
      </c>
      <c r="Q437" t="s">
        <v>408</v>
      </c>
      <c r="R437" s="2" t="b">
        <f>LEN(TRIM(Q437))=0</f>
        <v>0</v>
      </c>
      <c r="S437" s="2" t="str">
        <f>IF(RIGHT(TRIM(Q437),9)="gmail.com","OK","Typo")</f>
        <v>OK</v>
      </c>
      <c r="T437" s="2" t="str">
        <f>A437&amp;D437&amp;G437&amp;I437&amp;K437&amp;N437&amp;Q437</f>
        <v>UsmanFemaleIslamabad Marketing usman69@gmail.com</v>
      </c>
      <c r="U437" s="2" t="b">
        <f>COUNTIF(T:T,T437)&gt;1</f>
        <v>0</v>
      </c>
    </row>
    <row r="438" spans="1:21">
      <c r="A438" t="s">
        <v>380</v>
      </c>
      <c r="B438" t="b">
        <f>LEN(TRIM(A438))=0</f>
        <v>0</v>
      </c>
      <c r="C438" t="b">
        <f>COUNTIF(A:A,A438)&gt;1</f>
        <v>1</v>
      </c>
      <c r="D438" t="s">
        <v>22</v>
      </c>
      <c r="E438" t="b">
        <f>LEN(TRIM(D438))=0</f>
        <v>0</v>
      </c>
      <c r="F438" t="b">
        <f>EXACT(D438,PROPER(D438))</f>
        <v>1</v>
      </c>
      <c r="G438">
        <v>36</v>
      </c>
      <c r="H438" t="b">
        <f>LEN(TRIM(G438))=0</f>
        <v>0</v>
      </c>
      <c r="I438" t="s">
        <v>52</v>
      </c>
      <c r="J438" t="b">
        <f>EXACT(I438,PROPER(I438))</f>
        <v>0</v>
      </c>
      <c r="K438" t="s">
        <v>47</v>
      </c>
      <c r="L438" t="str">
        <f>TRIM(K438)</f>
        <v>Sales</v>
      </c>
      <c r="M438" t="b">
        <f>K438&lt;&gt;L438</f>
        <v>1</v>
      </c>
      <c r="O438" t="b">
        <f>LEN(TRIM(N438))=0</f>
        <v>1</v>
      </c>
      <c r="P438" t="b">
        <f>AND(N438&gt;0, N438&lt;1000000)</f>
        <v>0</v>
      </c>
      <c r="Q438" t="s">
        <v>409</v>
      </c>
      <c r="R438" s="2" t="b">
        <f>LEN(TRIM(Q438))=0</f>
        <v>0</v>
      </c>
      <c r="S438" s="2" t="str">
        <f>IF(RIGHT(TRIM(Q438),9)="gmail.com","OK","Typo")</f>
        <v>OK</v>
      </c>
      <c r="T438" s="2" t="str">
        <f>A438&amp;D438&amp;G438&amp;I438&amp;K438&amp;N438&amp;Q438</f>
        <v>UsmanMale36lahore Sales usman71@gmail.com</v>
      </c>
      <c r="U438" s="2" t="b">
        <f>COUNTIF(T:T,T438)&gt;1</f>
        <v>0</v>
      </c>
    </row>
    <row r="439" spans="1:21">
      <c r="A439" t="s">
        <v>380</v>
      </c>
      <c r="B439" t="b">
        <f>LEN(TRIM(A439))=0</f>
        <v>0</v>
      </c>
      <c r="C439" t="b">
        <f>COUNTIF(A:A,A439)&gt;1</f>
        <v>1</v>
      </c>
      <c r="D439" t="s">
        <v>22</v>
      </c>
      <c r="E439" t="b">
        <f>LEN(TRIM(D439))=0</f>
        <v>0</v>
      </c>
      <c r="F439" t="b">
        <f>EXACT(D439,PROPER(D439))</f>
        <v>1</v>
      </c>
      <c r="G439">
        <v>52</v>
      </c>
      <c r="H439" t="b">
        <f>LEN(TRIM(G439))=0</f>
        <v>0</v>
      </c>
      <c r="I439" t="s">
        <v>45</v>
      </c>
      <c r="J439" t="b">
        <f>EXACT(I439,PROPER(I439))</f>
        <v>1</v>
      </c>
      <c r="K439" t="s">
        <v>42</v>
      </c>
      <c r="L439" t="str">
        <f>TRIM(K439)</f>
        <v>IT</v>
      </c>
      <c r="M439" t="b">
        <f>K439&lt;&gt;L439</f>
        <v>0</v>
      </c>
      <c r="N439">
        <v>131284.35999999999</v>
      </c>
      <c r="O439" t="b">
        <f>LEN(TRIM(N439))=0</f>
        <v>0</v>
      </c>
      <c r="P439" t="b">
        <f>AND(N439&gt;0, N439&lt;1000000)</f>
        <v>1</v>
      </c>
      <c r="Q439" t="s">
        <v>410</v>
      </c>
      <c r="R439" s="2" t="b">
        <f>LEN(TRIM(Q439))=0</f>
        <v>0</v>
      </c>
      <c r="S439" s="2" t="str">
        <f>IF(RIGHT(TRIM(Q439),9)="gmail.com","OK","Typo")</f>
        <v>OK</v>
      </c>
      <c r="T439" s="2" t="str">
        <f>A439&amp;D439&amp;G439&amp;I439&amp;K439&amp;N439&amp;Q439</f>
        <v>UsmanMale52PeshawarIT131284.36usman74@gmail.com</v>
      </c>
      <c r="U439" s="2" t="b">
        <f>COUNTIF(T:T,T439)&gt;1</f>
        <v>0</v>
      </c>
    </row>
    <row r="440" spans="1:21">
      <c r="A440" t="s">
        <v>380</v>
      </c>
      <c r="B440" t="b">
        <f>LEN(TRIM(A440))=0</f>
        <v>0</v>
      </c>
      <c r="C440" t="b">
        <f>COUNTIF(A:A,A440)&gt;1</f>
        <v>1</v>
      </c>
      <c r="D440" t="s">
        <v>30</v>
      </c>
      <c r="E440" t="b">
        <f>LEN(TRIM(D440))=0</f>
        <v>0</v>
      </c>
      <c r="F440" t="b">
        <f>EXACT(D440,PROPER(D440))</f>
        <v>1</v>
      </c>
      <c r="G440">
        <v>26</v>
      </c>
      <c r="H440" t="b">
        <f>LEN(TRIM(G440))=0</f>
        <v>0</v>
      </c>
      <c r="I440" t="s">
        <v>23</v>
      </c>
      <c r="J440" t="b">
        <f>EXACT(I440,PROPER(I440))</f>
        <v>1</v>
      </c>
      <c r="K440" t="s">
        <v>38</v>
      </c>
      <c r="L440" t="str">
        <f>TRIM(K440)</f>
        <v>Sales</v>
      </c>
      <c r="M440" t="b">
        <f>K440&lt;&gt;L440</f>
        <v>0</v>
      </c>
      <c r="N440">
        <v>149798.35999999999</v>
      </c>
      <c r="O440" t="b">
        <f>LEN(TRIM(N440))=0</f>
        <v>0</v>
      </c>
      <c r="P440" t="b">
        <f>AND(N440&gt;0, N440&lt;1000000)</f>
        <v>1</v>
      </c>
      <c r="Q440" t="s">
        <v>411</v>
      </c>
      <c r="R440" s="2" t="b">
        <f>LEN(TRIM(Q440))=0</f>
        <v>0</v>
      </c>
      <c r="S440" s="2" t="str">
        <f>IF(RIGHT(TRIM(Q440),9)="gmail.com","OK","Typo")</f>
        <v>OK</v>
      </c>
      <c r="T440" s="2" t="str">
        <f>A440&amp;D440&amp;G440&amp;I440&amp;K440&amp;N440&amp;Q440</f>
        <v>UsmanFemale26QuettaSales149798.36usman76@gmail.com</v>
      </c>
      <c r="U440" s="2" t="b">
        <f>COUNTIF(T:T,T440)&gt;1</f>
        <v>0</v>
      </c>
    </row>
    <row r="441" spans="1:21">
      <c r="A441" t="s">
        <v>380</v>
      </c>
      <c r="B441" t="b">
        <f>LEN(TRIM(A441))=0</f>
        <v>0</v>
      </c>
      <c r="C441" t="b">
        <f>COUNTIF(A:A,A441)&gt;1</f>
        <v>1</v>
      </c>
      <c r="D441" t="s">
        <v>30</v>
      </c>
      <c r="E441" t="b">
        <f>LEN(TRIM(D441))=0</f>
        <v>0</v>
      </c>
      <c r="F441" t="b">
        <f>EXACT(D441,PROPER(D441))</f>
        <v>1</v>
      </c>
      <c r="H441" t="b">
        <f>LEN(TRIM(G441))=0</f>
        <v>1</v>
      </c>
      <c r="I441" t="s">
        <v>28</v>
      </c>
      <c r="J441" t="b">
        <f>EXACT(I441,PROPER(I441))</f>
        <v>1</v>
      </c>
      <c r="K441" t="s">
        <v>42</v>
      </c>
      <c r="L441" t="str">
        <f>TRIM(K441)</f>
        <v>IT</v>
      </c>
      <c r="M441" t="b">
        <f>K441&lt;&gt;L441</f>
        <v>0</v>
      </c>
      <c r="N441">
        <v>45299.67</v>
      </c>
      <c r="O441" t="b">
        <f>LEN(TRIM(N441))=0</f>
        <v>0</v>
      </c>
      <c r="P441" t="b">
        <f>AND(N441&gt;0, N441&lt;1000000)</f>
        <v>1</v>
      </c>
      <c r="Q441" t="s">
        <v>412</v>
      </c>
      <c r="R441" s="2" t="b">
        <f>LEN(TRIM(Q441))=0</f>
        <v>0</v>
      </c>
      <c r="S441" s="2" t="str">
        <f>IF(RIGHT(TRIM(Q441),9)="gmail.com","OK","Typo")</f>
        <v>OK</v>
      </c>
      <c r="T441" s="2" t="str">
        <f>A441&amp;D441&amp;G441&amp;I441&amp;K441&amp;N441&amp;Q441</f>
        <v>UsmanFemaleKarachiIT45299.67usman78@gmail.com</v>
      </c>
      <c r="U441" s="2" t="b">
        <f>COUNTIF(T:T,T441)&gt;1</f>
        <v>0</v>
      </c>
    </row>
    <row r="442" spans="1:21">
      <c r="A442" t="s">
        <v>380</v>
      </c>
      <c r="B442" t="b">
        <f>LEN(TRIM(A442))=0</f>
        <v>0</v>
      </c>
      <c r="C442" t="b">
        <f>COUNTIF(A:A,A442)&gt;1</f>
        <v>1</v>
      </c>
      <c r="D442" t="s">
        <v>22</v>
      </c>
      <c r="E442" t="b">
        <f>LEN(TRIM(D442))=0</f>
        <v>0</v>
      </c>
      <c r="F442" t="b">
        <f>EXACT(D442,PROPER(D442))</f>
        <v>1</v>
      </c>
      <c r="G442">
        <v>42</v>
      </c>
      <c r="H442" t="b">
        <f>LEN(TRIM(G442))=0</f>
        <v>0</v>
      </c>
      <c r="I442" t="s">
        <v>37</v>
      </c>
      <c r="J442" t="b">
        <f>EXACT(I442,PROPER(I442))</f>
        <v>1</v>
      </c>
      <c r="K442" t="s">
        <v>38</v>
      </c>
      <c r="L442" t="str">
        <f>TRIM(K442)</f>
        <v>Sales</v>
      </c>
      <c r="M442" t="b">
        <f>K442&lt;&gt;L442</f>
        <v>0</v>
      </c>
      <c r="O442" t="b">
        <f>LEN(TRIM(N442))=0</f>
        <v>1</v>
      </c>
      <c r="P442" t="b">
        <f>AND(N442&gt;0, N442&lt;1000000)</f>
        <v>0</v>
      </c>
      <c r="Q442" t="s">
        <v>412</v>
      </c>
      <c r="R442" s="2" t="b">
        <f>LEN(TRIM(Q442))=0</f>
        <v>0</v>
      </c>
      <c r="S442" s="2" t="str">
        <f>IF(RIGHT(TRIM(Q442),9)="gmail.com","OK","Typo")</f>
        <v>OK</v>
      </c>
      <c r="T442" s="2" t="str">
        <f>A442&amp;D442&amp;G442&amp;I442&amp;K442&amp;N442&amp;Q442</f>
        <v>UsmanMale42IslamabadSalesusman78@gmail.com</v>
      </c>
      <c r="U442" s="2" t="b">
        <f>COUNTIF(T:T,T442)&gt;1</f>
        <v>0</v>
      </c>
    </row>
    <row r="443" spans="1:21">
      <c r="A443" t="s">
        <v>380</v>
      </c>
      <c r="B443" t="b">
        <f>LEN(TRIM(A443))=0</f>
        <v>0</v>
      </c>
      <c r="C443" t="b">
        <f>COUNTIF(A:A,A443)&gt;1</f>
        <v>1</v>
      </c>
      <c r="D443" t="s">
        <v>30</v>
      </c>
      <c r="E443" t="b">
        <f>LEN(TRIM(D443))=0</f>
        <v>0</v>
      </c>
      <c r="F443" t="b">
        <f>EXACT(D443,PROPER(D443))</f>
        <v>1</v>
      </c>
      <c r="G443">
        <v>48</v>
      </c>
      <c r="H443" t="b">
        <f>LEN(TRIM(G443))=0</f>
        <v>0</v>
      </c>
      <c r="I443" t="s">
        <v>28</v>
      </c>
      <c r="J443" t="b">
        <f>EXACT(I443,PROPER(I443))</f>
        <v>1</v>
      </c>
      <c r="K443" t="s">
        <v>24</v>
      </c>
      <c r="L443" t="str">
        <f>TRIM(K443)</f>
        <v>HR</v>
      </c>
      <c r="M443" t="b">
        <f>K443&lt;&gt;L443</f>
        <v>0</v>
      </c>
      <c r="N443">
        <v>97423.42</v>
      </c>
      <c r="O443" t="b">
        <f>LEN(TRIM(N443))=0</f>
        <v>0</v>
      </c>
      <c r="P443" t="b">
        <f>AND(N443&gt;0, N443&lt;1000000)</f>
        <v>1</v>
      </c>
      <c r="Q443" t="s">
        <v>413</v>
      </c>
      <c r="R443" s="2" t="b">
        <f>LEN(TRIM(Q443))=0</f>
        <v>0</v>
      </c>
      <c r="S443" s="2" t="str">
        <f>IF(RIGHT(TRIM(Q443),9)="gmail.com","OK","Typo")</f>
        <v>Typo</v>
      </c>
      <c r="T443" s="2" t="str">
        <f>A443&amp;D443&amp;G443&amp;I443&amp;K443&amp;N443&amp;Q443</f>
        <v>UsmanFemale48KarachiHR97423.42usman80@gamil.com</v>
      </c>
      <c r="U443" s="2" t="b">
        <f>COUNTIF(T:T,T443)&gt;1</f>
        <v>0</v>
      </c>
    </row>
    <row r="444" spans="1:21">
      <c r="A444" t="s">
        <v>380</v>
      </c>
      <c r="B444" t="b">
        <f>LEN(TRIM(A444))=0</f>
        <v>0</v>
      </c>
      <c r="C444" t="b">
        <f>COUNTIF(A:A,A444)&gt;1</f>
        <v>1</v>
      </c>
      <c r="D444" t="s">
        <v>22</v>
      </c>
      <c r="E444" t="b">
        <f>LEN(TRIM(D444))=0</f>
        <v>0</v>
      </c>
      <c r="F444" t="b">
        <f>EXACT(D444,PROPER(D444))</f>
        <v>1</v>
      </c>
      <c r="H444" t="b">
        <f>LEN(TRIM(G444))=0</f>
        <v>1</v>
      </c>
      <c r="I444" t="s">
        <v>32</v>
      </c>
      <c r="J444" t="b">
        <f>EXACT(I444,PROPER(I444))</f>
        <v>1</v>
      </c>
      <c r="K444" t="s">
        <v>24</v>
      </c>
      <c r="L444" t="str">
        <f>TRIM(K444)</f>
        <v>HR</v>
      </c>
      <c r="M444" t="b">
        <f>K444&lt;&gt;L444</f>
        <v>0</v>
      </c>
      <c r="N444">
        <v>138775.49</v>
      </c>
      <c r="O444" t="b">
        <f>LEN(TRIM(N444))=0</f>
        <v>0</v>
      </c>
      <c r="P444" t="b">
        <f>AND(N444&gt;0, N444&lt;1000000)</f>
        <v>1</v>
      </c>
      <c r="Q444" t="s">
        <v>414</v>
      </c>
      <c r="R444" s="2" t="b">
        <f>LEN(TRIM(Q444))=0</f>
        <v>0</v>
      </c>
      <c r="S444" s="2" t="str">
        <f>IF(RIGHT(TRIM(Q444),9)="gmail.com","OK","Typo")</f>
        <v>OK</v>
      </c>
      <c r="T444" s="2" t="str">
        <f>A444&amp;D444&amp;G444&amp;I444&amp;K444&amp;N444&amp;Q444</f>
        <v>UsmanMaleLahoreHR138775.49usman85@gmail.com</v>
      </c>
      <c r="U444" s="2" t="b">
        <f>COUNTIF(T:T,T444)&gt;1</f>
        <v>0</v>
      </c>
    </row>
    <row r="445" spans="1:21">
      <c r="A445" t="s">
        <v>380</v>
      </c>
      <c r="B445" t="b">
        <f>LEN(TRIM(A445))=0</f>
        <v>0</v>
      </c>
      <c r="C445" t="b">
        <f>COUNTIF(A:A,A445)&gt;1</f>
        <v>1</v>
      </c>
      <c r="D445" t="s">
        <v>22</v>
      </c>
      <c r="E445" t="b">
        <f>LEN(TRIM(D445))=0</f>
        <v>0</v>
      </c>
      <c r="F445" t="b">
        <f>EXACT(D445,PROPER(D445))</f>
        <v>1</v>
      </c>
      <c r="H445" t="b">
        <f>LEN(TRIM(G445))=0</f>
        <v>1</v>
      </c>
      <c r="I445" t="s">
        <v>32</v>
      </c>
      <c r="J445" t="b">
        <f>EXACT(I445,PROPER(I445))</f>
        <v>1</v>
      </c>
      <c r="K445" t="s">
        <v>60</v>
      </c>
      <c r="L445" t="str">
        <f>TRIM(K445)</f>
        <v>Finance</v>
      </c>
      <c r="M445" t="b">
        <f>K445&lt;&gt;L445</f>
        <v>1</v>
      </c>
      <c r="N445">
        <v>120574.82</v>
      </c>
      <c r="O445" t="b">
        <f>LEN(TRIM(N445))=0</f>
        <v>0</v>
      </c>
      <c r="P445" t="b">
        <f>AND(N445&gt;0, N445&lt;1000000)</f>
        <v>1</v>
      </c>
      <c r="Q445" t="s">
        <v>415</v>
      </c>
      <c r="R445" s="2" t="b">
        <f>LEN(TRIM(Q445))=0</f>
        <v>0</v>
      </c>
      <c r="S445" s="2" t="str">
        <f>IF(RIGHT(TRIM(Q445),9)="gmail.com","OK","Typo")</f>
        <v>OK</v>
      </c>
      <c r="T445" s="2" t="str">
        <f>A445&amp;D445&amp;G445&amp;I445&amp;K445&amp;N445&amp;Q445</f>
        <v>UsmanMaleLahore Finance 120574.82usman92@gmail.com</v>
      </c>
      <c r="U445" s="2" t="b">
        <f>COUNTIF(T:T,T445)&gt;1</f>
        <v>0</v>
      </c>
    </row>
    <row r="446" spans="1:21">
      <c r="A446" t="s">
        <v>380</v>
      </c>
      <c r="B446" t="b">
        <f>LEN(TRIM(A446))=0</f>
        <v>0</v>
      </c>
      <c r="C446" t="b">
        <f>COUNTIF(A:A,A446)&gt;1</f>
        <v>1</v>
      </c>
      <c r="D446" t="s">
        <v>22</v>
      </c>
      <c r="E446" t="b">
        <f>LEN(TRIM(D446))=0</f>
        <v>0</v>
      </c>
      <c r="F446" t="b">
        <f>EXACT(D446,PROPER(D446))</f>
        <v>1</v>
      </c>
      <c r="H446" t="b">
        <f>LEN(TRIM(G446))=0</f>
        <v>1</v>
      </c>
      <c r="I446" t="s">
        <v>37</v>
      </c>
      <c r="J446" t="b">
        <f>EXACT(I446,PROPER(I446))</f>
        <v>1</v>
      </c>
      <c r="K446" t="s">
        <v>35</v>
      </c>
      <c r="L446" t="str">
        <f>TRIM(K446)</f>
        <v>Marketing</v>
      </c>
      <c r="M446" t="b">
        <f>K446&lt;&gt;L446</f>
        <v>0</v>
      </c>
      <c r="O446" t="b">
        <f>LEN(TRIM(N446))=0</f>
        <v>1</v>
      </c>
      <c r="P446" t="b">
        <f>AND(N446&gt;0, N446&lt;1000000)</f>
        <v>0</v>
      </c>
      <c r="Q446" t="s">
        <v>416</v>
      </c>
      <c r="R446" s="2" t="b">
        <f>LEN(TRIM(Q446))=0</f>
        <v>0</v>
      </c>
      <c r="S446" s="2" t="str">
        <f>IF(RIGHT(TRIM(Q446),9)="gmail.com","OK","Typo")</f>
        <v>OK</v>
      </c>
      <c r="T446" s="2" t="str">
        <f>A446&amp;D446&amp;G446&amp;I446&amp;K446&amp;N446&amp;Q446</f>
        <v>UsmanMaleIslamabadMarketingusman93@gmail.com</v>
      </c>
      <c r="U446" s="2" t="b">
        <f>COUNTIF(T:T,T446)&gt;1</f>
        <v>0</v>
      </c>
    </row>
    <row r="447" spans="1:21">
      <c r="A447" t="s">
        <v>380</v>
      </c>
      <c r="B447" t="b">
        <f>LEN(TRIM(A447))=0</f>
        <v>0</v>
      </c>
      <c r="C447" t="b">
        <f>COUNTIF(A:A,A447)&gt;1</f>
        <v>1</v>
      </c>
      <c r="D447" t="s">
        <v>30</v>
      </c>
      <c r="E447" t="b">
        <f>LEN(TRIM(D447))=0</f>
        <v>0</v>
      </c>
      <c r="F447" t="b">
        <f>EXACT(D447,PROPER(D447))</f>
        <v>1</v>
      </c>
      <c r="H447" t="b">
        <f>LEN(TRIM(G447))=0</f>
        <v>1</v>
      </c>
      <c r="I447" t="s">
        <v>45</v>
      </c>
      <c r="J447" t="b">
        <f>EXACT(I447,PROPER(I447))</f>
        <v>1</v>
      </c>
      <c r="K447" t="s">
        <v>29</v>
      </c>
      <c r="L447" t="str">
        <f>TRIM(K447)</f>
        <v>Finance</v>
      </c>
      <c r="M447" t="b">
        <f>K447&lt;&gt;L447</f>
        <v>0</v>
      </c>
      <c r="O447" t="b">
        <f>LEN(TRIM(N447))=0</f>
        <v>1</v>
      </c>
      <c r="P447" t="b">
        <f>AND(N447&gt;0, N447&lt;1000000)</f>
        <v>0</v>
      </c>
      <c r="Q447" t="s">
        <v>417</v>
      </c>
      <c r="R447" s="2" t="b">
        <f>LEN(TRIM(Q447))=0</f>
        <v>0</v>
      </c>
      <c r="S447" s="2" t="str">
        <f>IF(RIGHT(TRIM(Q447),9)="gmail.com","OK","Typo")</f>
        <v>OK</v>
      </c>
      <c r="T447" s="2" t="str">
        <f>A447&amp;D447&amp;G447&amp;I447&amp;K447&amp;N447&amp;Q447</f>
        <v>UsmanFemalePeshawarFinanceusman98@gmail.com</v>
      </c>
      <c r="U447" s="2" t="b">
        <f>COUNTIF(T:T,T447)&gt;1</f>
        <v>0</v>
      </c>
    </row>
    <row r="448" spans="1:21">
      <c r="A448" t="s">
        <v>380</v>
      </c>
      <c r="B448" t="b">
        <f>LEN(TRIM(A448))=0</f>
        <v>0</v>
      </c>
      <c r="C448" t="b">
        <f>COUNTIF(A:A,A448)&gt;1</f>
        <v>1</v>
      </c>
      <c r="D448" t="s">
        <v>22</v>
      </c>
      <c r="E448" t="b">
        <f>LEN(TRIM(D448))=0</f>
        <v>0</v>
      </c>
      <c r="F448" t="b">
        <f>EXACT(D448,PROPER(D448))</f>
        <v>1</v>
      </c>
      <c r="H448" t="b">
        <f>LEN(TRIM(G448))=0</f>
        <v>1</v>
      </c>
      <c r="I448" t="s">
        <v>28</v>
      </c>
      <c r="J448" t="b">
        <f>EXACT(I448,PROPER(I448))</f>
        <v>1</v>
      </c>
      <c r="K448" t="s">
        <v>35</v>
      </c>
      <c r="L448" t="str">
        <f>TRIM(K448)</f>
        <v>Marketing</v>
      </c>
      <c r="M448" t="b">
        <f>K448&lt;&gt;L448</f>
        <v>0</v>
      </c>
      <c r="O448" t="b">
        <f>LEN(TRIM(N448))=0</f>
        <v>1</v>
      </c>
      <c r="P448" t="b">
        <f>AND(N448&gt;0, N448&lt;1000000)</f>
        <v>0</v>
      </c>
      <c r="Q448" t="s">
        <v>418</v>
      </c>
      <c r="R448" s="2" t="b">
        <f>LEN(TRIM(Q448))=0</f>
        <v>0</v>
      </c>
      <c r="S448" s="2" t="str">
        <f>IF(RIGHT(TRIM(Q448),9)="gmail.com","OK","Typo")</f>
        <v>OK</v>
      </c>
      <c r="T448" s="2" t="str">
        <f>A448&amp;D448&amp;G448&amp;I448&amp;K448&amp;N448&amp;Q448</f>
        <v>UsmanMaleKarachiMarketingusman99@gmail.com</v>
      </c>
      <c r="U448" s="2" t="b">
        <f>COUNTIF(T:T,T448)&gt;1</f>
        <v>0</v>
      </c>
    </row>
    <row r="449" spans="1:21">
      <c r="A449" t="s">
        <v>419</v>
      </c>
      <c r="B449" t="b">
        <f>LEN(TRIM(A449))=0</f>
        <v>0</v>
      </c>
      <c r="C449" t="b">
        <f>COUNTIF(A:A,A449)&gt;1</f>
        <v>1</v>
      </c>
      <c r="D449" t="s">
        <v>22</v>
      </c>
      <c r="E449" t="b">
        <f>LEN(TRIM(D449))=0</f>
        <v>0</v>
      </c>
      <c r="F449" t="b">
        <f>EXACT(D449,PROPER(D449))</f>
        <v>1</v>
      </c>
      <c r="H449" t="b">
        <f>LEN(TRIM(G449))=0</f>
        <v>1</v>
      </c>
      <c r="I449" t="s">
        <v>37</v>
      </c>
      <c r="J449" t="b">
        <f>EXACT(I449,PROPER(I449))</f>
        <v>1</v>
      </c>
      <c r="K449" t="s">
        <v>42</v>
      </c>
      <c r="L449" t="str">
        <f>TRIM(K449)</f>
        <v>IT</v>
      </c>
      <c r="M449" t="b">
        <f>K449&lt;&gt;L449</f>
        <v>0</v>
      </c>
      <c r="O449" t="b">
        <f>LEN(TRIM(N449))=0</f>
        <v>1</v>
      </c>
      <c r="P449" t="b">
        <f>AND(N449&gt;0, N449&lt;1000000)</f>
        <v>0</v>
      </c>
      <c r="Q449" t="s">
        <v>420</v>
      </c>
      <c r="R449" s="2" t="b">
        <f>LEN(TRIM(Q449))=0</f>
        <v>0</v>
      </c>
      <c r="S449" s="2" t="str">
        <f>IF(RIGHT(TRIM(Q449),9)="gmail.com","OK","Typo")</f>
        <v>OK</v>
      </c>
      <c r="T449" s="2" t="str">
        <f>A449&amp;D449&amp;G449&amp;I449&amp;K449&amp;N449&amp;Q449</f>
        <v>ZaraMaleIslamabadITzara11@gmail.com</v>
      </c>
      <c r="U449" s="2" t="b">
        <f>COUNTIF(T:T,T449)&gt;1</f>
        <v>0</v>
      </c>
    </row>
    <row r="450" spans="1:21">
      <c r="A450" t="s">
        <v>419</v>
      </c>
      <c r="B450" t="b">
        <f>LEN(TRIM(A450))=0</f>
        <v>0</v>
      </c>
      <c r="C450" t="b">
        <f>COUNTIF(A:A,A450)&gt;1</f>
        <v>1</v>
      </c>
      <c r="D450" t="s">
        <v>30</v>
      </c>
      <c r="E450" t="b">
        <f>LEN(TRIM(D450))=0</f>
        <v>0</v>
      </c>
      <c r="F450" t="b">
        <f>EXACT(D450,PROPER(D450))</f>
        <v>1</v>
      </c>
      <c r="H450" t="b">
        <f>LEN(TRIM(G450))=0</f>
        <v>1</v>
      </c>
      <c r="I450" t="s">
        <v>45</v>
      </c>
      <c r="J450" t="b">
        <f>EXACT(I450,PROPER(I450))</f>
        <v>1</v>
      </c>
      <c r="K450" t="s">
        <v>24</v>
      </c>
      <c r="L450" t="str">
        <f>TRIM(K450)</f>
        <v>HR</v>
      </c>
      <c r="M450" t="b">
        <f>K450&lt;&gt;L450</f>
        <v>0</v>
      </c>
      <c r="N450">
        <v>64419.42</v>
      </c>
      <c r="O450" t="b">
        <f>LEN(TRIM(N450))=0</f>
        <v>0</v>
      </c>
      <c r="P450" t="b">
        <f>AND(N450&gt;0, N450&lt;1000000)</f>
        <v>1</v>
      </c>
      <c r="Q450" t="s">
        <v>421</v>
      </c>
      <c r="R450" s="2" t="b">
        <f>LEN(TRIM(Q450))=0</f>
        <v>0</v>
      </c>
      <c r="S450" s="2" t="str">
        <f>IF(RIGHT(TRIM(Q450),9)="gmail.com","OK","Typo")</f>
        <v>OK</v>
      </c>
      <c r="T450" s="2" t="str">
        <f>A450&amp;D450&amp;G450&amp;I450&amp;K450&amp;N450&amp;Q450</f>
        <v>ZaraFemalePeshawarHR64419.42zara12@gmail.com</v>
      </c>
      <c r="U450" s="2" t="b">
        <f>COUNTIF(T:T,T450)&gt;1</f>
        <v>0</v>
      </c>
    </row>
    <row r="451" spans="1:21">
      <c r="A451" t="s">
        <v>419</v>
      </c>
      <c r="B451" t="b">
        <f>LEN(TRIM(A451))=0</f>
        <v>0</v>
      </c>
      <c r="C451" t="b">
        <f>COUNTIF(A:A,A451)&gt;1</f>
        <v>1</v>
      </c>
      <c r="D451" t="s">
        <v>22</v>
      </c>
      <c r="E451" t="b">
        <f>LEN(TRIM(D451))=0</f>
        <v>0</v>
      </c>
      <c r="F451" t="b">
        <f>EXACT(D451,PROPER(D451))</f>
        <v>1</v>
      </c>
      <c r="G451">
        <v>26</v>
      </c>
      <c r="H451" t="b">
        <f>LEN(TRIM(G451))=0</f>
        <v>0</v>
      </c>
      <c r="I451" t="s">
        <v>28</v>
      </c>
      <c r="J451" t="b">
        <f>EXACT(I451,PROPER(I451))</f>
        <v>1</v>
      </c>
      <c r="K451" t="s">
        <v>24</v>
      </c>
      <c r="L451" t="str">
        <f>TRIM(K451)</f>
        <v>HR</v>
      </c>
      <c r="M451" t="b">
        <f>K451&lt;&gt;L451</f>
        <v>0</v>
      </c>
      <c r="N451">
        <v>28913.32</v>
      </c>
      <c r="O451" t="b">
        <f>LEN(TRIM(N451))=0</f>
        <v>0</v>
      </c>
      <c r="P451" t="b">
        <f>AND(N451&gt;0, N451&lt;1000000)</f>
        <v>1</v>
      </c>
      <c r="Q451" t="s">
        <v>421</v>
      </c>
      <c r="R451" s="2" t="b">
        <f>LEN(TRIM(Q451))=0</f>
        <v>0</v>
      </c>
      <c r="S451" s="2" t="str">
        <f>IF(RIGHT(TRIM(Q451),9)="gmail.com","OK","Typo")</f>
        <v>OK</v>
      </c>
      <c r="T451" s="2" t="str">
        <f>A451&amp;D451&amp;G451&amp;I451&amp;K451&amp;N451&amp;Q451</f>
        <v>ZaraMale26KarachiHR28913.32zara12@gmail.com</v>
      </c>
      <c r="U451" s="2" t="b">
        <f>COUNTIF(T:T,T451)&gt;1</f>
        <v>0</v>
      </c>
    </row>
    <row r="452" spans="1:21">
      <c r="A452" t="s">
        <v>419</v>
      </c>
      <c r="B452" t="b">
        <f>LEN(TRIM(A452))=0</f>
        <v>0</v>
      </c>
      <c r="C452" t="b">
        <f>COUNTIF(A:A,A452)&gt;1</f>
        <v>1</v>
      </c>
      <c r="D452" t="s">
        <v>30</v>
      </c>
      <c r="E452" t="b">
        <f>LEN(TRIM(D452))=0</f>
        <v>0</v>
      </c>
      <c r="F452" t="b">
        <f>EXACT(D452,PROPER(D452))</f>
        <v>1</v>
      </c>
      <c r="G452">
        <v>52</v>
      </c>
      <c r="H452" t="b">
        <f>LEN(TRIM(G452))=0</f>
        <v>0</v>
      </c>
      <c r="I452" t="s">
        <v>23</v>
      </c>
      <c r="J452" t="b">
        <f>EXACT(I452,PROPER(I452))</f>
        <v>1</v>
      </c>
      <c r="K452" t="s">
        <v>47</v>
      </c>
      <c r="L452" t="str">
        <f>TRIM(K452)</f>
        <v>Sales</v>
      </c>
      <c r="M452" t="b">
        <f>K452&lt;&gt;L452</f>
        <v>1</v>
      </c>
      <c r="O452" t="b">
        <f>LEN(TRIM(N452))=0</f>
        <v>1</v>
      </c>
      <c r="P452" t="b">
        <f>AND(N452&gt;0, N452&lt;1000000)</f>
        <v>0</v>
      </c>
      <c r="Q452" t="s">
        <v>422</v>
      </c>
      <c r="R452" s="2" t="b">
        <f>LEN(TRIM(Q452))=0</f>
        <v>0</v>
      </c>
      <c r="S452" s="2" t="str">
        <f>IF(RIGHT(TRIM(Q452),9)="gmail.com","OK","Typo")</f>
        <v>OK</v>
      </c>
      <c r="T452" s="2" t="str">
        <f>A452&amp;D452&amp;G452&amp;I452&amp;K452&amp;N452&amp;Q452</f>
        <v>ZaraFemale52Quetta Sales zara14@gmail.com</v>
      </c>
      <c r="U452" s="2" t="b">
        <f>COUNTIF(T:T,T452)&gt;1</f>
        <v>0</v>
      </c>
    </row>
    <row r="453" spans="1:21">
      <c r="A453" t="s">
        <v>419</v>
      </c>
      <c r="B453" t="b">
        <f>LEN(TRIM(A453))=0</f>
        <v>0</v>
      </c>
      <c r="C453" t="b">
        <f>COUNTIF(A:A,A453)&gt;1</f>
        <v>1</v>
      </c>
      <c r="D453" t="s">
        <v>22</v>
      </c>
      <c r="E453" t="b">
        <f>LEN(TRIM(D453))=0</f>
        <v>0</v>
      </c>
      <c r="F453" t="b">
        <f>EXACT(D453,PROPER(D453))</f>
        <v>1</v>
      </c>
      <c r="H453" t="b">
        <f>LEN(TRIM(G453))=0</f>
        <v>1</v>
      </c>
      <c r="I453" t="s">
        <v>23</v>
      </c>
      <c r="J453" t="b">
        <f>EXACT(I453,PROPER(I453))</f>
        <v>1</v>
      </c>
      <c r="K453" t="s">
        <v>74</v>
      </c>
      <c r="L453" t="str">
        <f>TRIM(K453)</f>
        <v>Marketing</v>
      </c>
      <c r="M453" t="b">
        <f>K453&lt;&gt;L453</f>
        <v>1</v>
      </c>
      <c r="O453" t="b">
        <f>LEN(TRIM(N453))=0</f>
        <v>1</v>
      </c>
      <c r="P453" t="b">
        <f>AND(N453&gt;0, N453&lt;1000000)</f>
        <v>0</v>
      </c>
      <c r="Q453" t="s">
        <v>423</v>
      </c>
      <c r="R453" s="2" t="b">
        <f>LEN(TRIM(Q453))=0</f>
        <v>0</v>
      </c>
      <c r="S453" s="2" t="str">
        <f>IF(RIGHT(TRIM(Q453),9)="gmail.com","OK","Typo")</f>
        <v>OK</v>
      </c>
      <c r="T453" s="2" t="str">
        <f>A453&amp;D453&amp;G453&amp;I453&amp;K453&amp;N453&amp;Q453</f>
        <v>ZaraMaleQuetta Marketing zara15@gmail.com</v>
      </c>
      <c r="U453" s="2" t="b">
        <f>COUNTIF(T:T,T453)&gt;1</f>
        <v>0</v>
      </c>
    </row>
    <row r="454" spans="1:21">
      <c r="A454" t="s">
        <v>419</v>
      </c>
      <c r="B454" t="b">
        <f>LEN(TRIM(A454))=0</f>
        <v>0</v>
      </c>
      <c r="C454" t="b">
        <f>COUNTIF(A:A,A454)&gt;1</f>
        <v>1</v>
      </c>
      <c r="D454" t="s">
        <v>22</v>
      </c>
      <c r="E454" t="b">
        <f>LEN(TRIM(D454))=0</f>
        <v>0</v>
      </c>
      <c r="F454" t="b">
        <f>EXACT(D454,PROPER(D454))</f>
        <v>1</v>
      </c>
      <c r="G454">
        <v>56</v>
      </c>
      <c r="H454" t="b">
        <f>LEN(TRIM(G454))=0</f>
        <v>0</v>
      </c>
      <c r="I454" t="s">
        <v>32</v>
      </c>
      <c r="J454" t="b">
        <f>EXACT(I454,PROPER(I454))</f>
        <v>1</v>
      </c>
      <c r="K454" t="s">
        <v>24</v>
      </c>
      <c r="L454" t="str">
        <f>TRIM(K454)</f>
        <v>HR</v>
      </c>
      <c r="M454" t="b">
        <f>K454&lt;&gt;L454</f>
        <v>0</v>
      </c>
      <c r="N454">
        <v>81420.39</v>
      </c>
      <c r="O454" t="b">
        <f>LEN(TRIM(N454))=0</f>
        <v>0</v>
      </c>
      <c r="P454" t="b">
        <f>AND(N454&gt;0, N454&lt;1000000)</f>
        <v>1</v>
      </c>
      <c r="Q454" t="s">
        <v>423</v>
      </c>
      <c r="R454" s="2" t="b">
        <f>LEN(TRIM(Q454))=0</f>
        <v>0</v>
      </c>
      <c r="S454" s="2" t="str">
        <f>IF(RIGHT(TRIM(Q454),9)="gmail.com","OK","Typo")</f>
        <v>OK</v>
      </c>
      <c r="T454" s="2" t="str">
        <f>A454&amp;D454&amp;G454&amp;I454&amp;K454&amp;N454&amp;Q454</f>
        <v>ZaraMale56LahoreHR81420.39zara15@gmail.com</v>
      </c>
      <c r="U454" s="2" t="b">
        <f>COUNTIF(T:T,T454)&gt;1</f>
        <v>0</v>
      </c>
    </row>
    <row r="455" spans="1:21">
      <c r="A455" t="s">
        <v>419</v>
      </c>
      <c r="B455" t="b">
        <f>LEN(TRIM(A455))=0</f>
        <v>0</v>
      </c>
      <c r="C455" t="b">
        <f>COUNTIF(A:A,A455)&gt;1</f>
        <v>1</v>
      </c>
      <c r="D455" t="s">
        <v>30</v>
      </c>
      <c r="E455" t="b">
        <f>LEN(TRIM(D455))=0</f>
        <v>0</v>
      </c>
      <c r="F455" t="b">
        <f>EXACT(D455,PROPER(D455))</f>
        <v>1</v>
      </c>
      <c r="G455">
        <v>27</v>
      </c>
      <c r="H455" t="b">
        <f>LEN(TRIM(G455))=0</f>
        <v>0</v>
      </c>
      <c r="I455" t="s">
        <v>37</v>
      </c>
      <c r="J455" t="b">
        <f>EXACT(I455,PROPER(I455))</f>
        <v>1</v>
      </c>
      <c r="K455" t="s">
        <v>24</v>
      </c>
      <c r="L455" t="str">
        <f>TRIM(K455)</f>
        <v>HR</v>
      </c>
      <c r="M455" t="b">
        <f>K455&lt;&gt;L455</f>
        <v>0</v>
      </c>
      <c r="O455" t="b">
        <f>LEN(TRIM(N455))=0</f>
        <v>1</v>
      </c>
      <c r="P455" t="b">
        <f>AND(N455&gt;0, N455&lt;1000000)</f>
        <v>0</v>
      </c>
      <c r="Q455" t="s">
        <v>424</v>
      </c>
      <c r="R455" s="2" t="b">
        <f>LEN(TRIM(Q455))=0</f>
        <v>0</v>
      </c>
      <c r="S455" s="2" t="str">
        <f>IF(RIGHT(TRIM(Q455),9)="gmail.com","OK","Typo")</f>
        <v>Typo</v>
      </c>
      <c r="T455" s="2" t="str">
        <f>A455&amp;D455&amp;G455&amp;I455&amp;K455&amp;N455&amp;Q455</f>
        <v>ZaraFemale27IslamabadHRzara16@gamil.com</v>
      </c>
      <c r="U455" s="2" t="b">
        <f>COUNTIF(T:T,T455)&gt;1</f>
        <v>0</v>
      </c>
    </row>
    <row r="456" spans="1:21">
      <c r="A456" t="s">
        <v>419</v>
      </c>
      <c r="B456" t="b">
        <f>LEN(TRIM(A456))=0</f>
        <v>0</v>
      </c>
      <c r="C456" t="b">
        <f>COUNTIF(A:A,A456)&gt;1</f>
        <v>1</v>
      </c>
      <c r="D456" t="s">
        <v>30</v>
      </c>
      <c r="E456" t="b">
        <f>LEN(TRIM(D456))=0</f>
        <v>0</v>
      </c>
      <c r="F456" t="b">
        <f>EXACT(D456,PROPER(D456))</f>
        <v>1</v>
      </c>
      <c r="H456" t="b">
        <f>LEN(TRIM(G456))=0</f>
        <v>1</v>
      </c>
      <c r="I456" t="s">
        <v>28</v>
      </c>
      <c r="J456" t="b">
        <f>EXACT(I456,PROPER(I456))</f>
        <v>1</v>
      </c>
      <c r="K456" t="s">
        <v>47</v>
      </c>
      <c r="L456" t="str">
        <f>TRIM(K456)</f>
        <v>Sales</v>
      </c>
      <c r="M456" t="b">
        <f>K456&lt;&gt;L456</f>
        <v>1</v>
      </c>
      <c r="O456" t="b">
        <f>LEN(TRIM(N456))=0</f>
        <v>1</v>
      </c>
      <c r="P456" t="b">
        <f>AND(N456&gt;0, N456&lt;1000000)</f>
        <v>0</v>
      </c>
      <c r="Q456" t="s">
        <v>425</v>
      </c>
      <c r="R456" s="2" t="b">
        <f>LEN(TRIM(Q456))=0</f>
        <v>0</v>
      </c>
      <c r="S456" s="2" t="str">
        <f>IF(RIGHT(TRIM(Q456),9)="gmail.com","OK","Typo")</f>
        <v>OK</v>
      </c>
      <c r="T456" s="2" t="str">
        <f>A456&amp;D456&amp;G456&amp;I456&amp;K456&amp;N456&amp;Q456</f>
        <v>ZaraFemaleKarachi Sales zara18@gmail.com</v>
      </c>
      <c r="U456" s="2" t="b">
        <f>COUNTIF(T:T,T456)&gt;1</f>
        <v>0</v>
      </c>
    </row>
    <row r="457" spans="1:21">
      <c r="A457" t="s">
        <v>419</v>
      </c>
      <c r="B457" t="b">
        <f>LEN(TRIM(A457))=0</f>
        <v>0</v>
      </c>
      <c r="C457" t="b">
        <f>COUNTIF(A:A,A457)&gt;1</f>
        <v>1</v>
      </c>
      <c r="D457" t="s">
        <v>22</v>
      </c>
      <c r="E457" t="b">
        <f>LEN(TRIM(D457))=0</f>
        <v>0</v>
      </c>
      <c r="F457" t="b">
        <f>EXACT(D457,PROPER(D457))</f>
        <v>1</v>
      </c>
      <c r="H457" t="b">
        <f>LEN(TRIM(G457))=0</f>
        <v>1</v>
      </c>
      <c r="I457" t="s">
        <v>28</v>
      </c>
      <c r="J457" t="b">
        <f>EXACT(I457,PROPER(I457))</f>
        <v>1</v>
      </c>
      <c r="K457" t="s">
        <v>42</v>
      </c>
      <c r="L457" t="str">
        <f>TRIM(K457)</f>
        <v>IT</v>
      </c>
      <c r="M457" t="b">
        <f>K457&lt;&gt;L457</f>
        <v>0</v>
      </c>
      <c r="O457" t="b">
        <f>LEN(TRIM(N457))=0</f>
        <v>1</v>
      </c>
      <c r="P457" t="b">
        <f>AND(N457&gt;0, N457&lt;1000000)</f>
        <v>0</v>
      </c>
      <c r="Q457" t="s">
        <v>425</v>
      </c>
      <c r="R457" s="2" t="b">
        <f>LEN(TRIM(Q457))=0</f>
        <v>0</v>
      </c>
      <c r="S457" s="2" t="str">
        <f>IF(RIGHT(TRIM(Q457),9)="gmail.com","OK","Typo")</f>
        <v>OK</v>
      </c>
      <c r="T457" s="2" t="str">
        <f>A457&amp;D457&amp;G457&amp;I457&amp;K457&amp;N457&amp;Q457</f>
        <v>ZaraMaleKarachiITzara18@gmail.com</v>
      </c>
      <c r="U457" s="2" t="b">
        <f>COUNTIF(T:T,T457)&gt;1</f>
        <v>0</v>
      </c>
    </row>
    <row r="458" spans="1:21">
      <c r="A458" t="s">
        <v>419</v>
      </c>
      <c r="B458" t="b">
        <f>LEN(TRIM(A458))=0</f>
        <v>0</v>
      </c>
      <c r="C458" t="b">
        <f>COUNTIF(A:A,A458)&gt;1</f>
        <v>1</v>
      </c>
      <c r="D458" t="s">
        <v>30</v>
      </c>
      <c r="E458" t="b">
        <f>LEN(TRIM(D458))=0</f>
        <v>0</v>
      </c>
      <c r="F458" t="b">
        <f>EXACT(D458,PROPER(D458))</f>
        <v>1</v>
      </c>
      <c r="G458">
        <v>49</v>
      </c>
      <c r="H458" t="b">
        <f>LEN(TRIM(G458))=0</f>
        <v>0</v>
      </c>
      <c r="I458" t="s">
        <v>37</v>
      </c>
      <c r="J458" t="b">
        <f>EXACT(I458,PROPER(I458))</f>
        <v>1</v>
      </c>
      <c r="K458" t="s">
        <v>29</v>
      </c>
      <c r="L458" t="str">
        <f>TRIM(K458)</f>
        <v>Finance</v>
      </c>
      <c r="M458" t="b">
        <f>K458&lt;&gt;L458</f>
        <v>0</v>
      </c>
      <c r="N458">
        <v>49173.81</v>
      </c>
      <c r="O458" t="b">
        <f>LEN(TRIM(N458))=0</f>
        <v>0</v>
      </c>
      <c r="P458" t="b">
        <f>AND(N458&gt;0, N458&lt;1000000)</f>
        <v>1</v>
      </c>
      <c r="Q458" t="s">
        <v>426</v>
      </c>
      <c r="R458" s="2" t="b">
        <f>LEN(TRIM(Q458))=0</f>
        <v>0</v>
      </c>
      <c r="S458" s="2" t="str">
        <f>IF(RIGHT(TRIM(Q458),9)="gmail.com","OK","Typo")</f>
        <v>OK</v>
      </c>
      <c r="T458" s="2" t="str">
        <f>A458&amp;D458&amp;G458&amp;I458&amp;K458&amp;N458&amp;Q458</f>
        <v>ZaraFemale49IslamabadFinance49173.81zara19@gmail.com</v>
      </c>
      <c r="U458" s="2" t="b">
        <f>COUNTIF(T:T,T458)&gt;1</f>
        <v>0</v>
      </c>
    </row>
    <row r="459" spans="1:21">
      <c r="A459" t="s">
        <v>419</v>
      </c>
      <c r="B459" t="b">
        <f>LEN(TRIM(A459))=0</f>
        <v>0</v>
      </c>
      <c r="C459" t="b">
        <f>COUNTIF(A:A,A459)&gt;1</f>
        <v>1</v>
      </c>
      <c r="D459" t="s">
        <v>22</v>
      </c>
      <c r="E459" t="b">
        <f>LEN(TRIM(D459))=0</f>
        <v>0</v>
      </c>
      <c r="F459" t="b">
        <f>EXACT(D459,PROPER(D459))</f>
        <v>1</v>
      </c>
      <c r="H459" t="b">
        <f>LEN(TRIM(G459))=0</f>
        <v>1</v>
      </c>
      <c r="I459" t="s">
        <v>32</v>
      </c>
      <c r="J459" t="b">
        <f>EXACT(I459,PROPER(I459))</f>
        <v>1</v>
      </c>
      <c r="K459" t="s">
        <v>42</v>
      </c>
      <c r="L459" t="str">
        <f>TRIM(K459)</f>
        <v>IT</v>
      </c>
      <c r="M459" t="b">
        <f>K459&lt;&gt;L459</f>
        <v>0</v>
      </c>
      <c r="O459" t="b">
        <f>LEN(TRIM(N459))=0</f>
        <v>1</v>
      </c>
      <c r="P459" t="b">
        <f>AND(N459&gt;0, N459&lt;1000000)</f>
        <v>0</v>
      </c>
      <c r="Q459" t="s">
        <v>427</v>
      </c>
      <c r="R459" s="2" t="b">
        <f>LEN(TRIM(Q459))=0</f>
        <v>0</v>
      </c>
      <c r="S459" s="2" t="str">
        <f>IF(RIGHT(TRIM(Q459),9)="gmail.com","OK","Typo")</f>
        <v>OK</v>
      </c>
      <c r="T459" s="2" t="str">
        <f>A459&amp;D459&amp;G459&amp;I459&amp;K459&amp;N459&amp;Q459</f>
        <v>ZaraMaleLahoreITzara20@gmail.com</v>
      </c>
      <c r="U459" s="2" t="b">
        <f>COUNTIF(T:T,T459)&gt;1</f>
        <v>0</v>
      </c>
    </row>
    <row r="460" spans="1:21">
      <c r="A460" t="s">
        <v>419</v>
      </c>
      <c r="B460" t="b">
        <f>LEN(TRIM(A460))=0</f>
        <v>0</v>
      </c>
      <c r="C460" t="b">
        <f>COUNTIF(A:A,A460)&gt;1</f>
        <v>1</v>
      </c>
      <c r="D460" t="s">
        <v>30</v>
      </c>
      <c r="E460" t="b">
        <f>LEN(TRIM(D460))=0</f>
        <v>0</v>
      </c>
      <c r="F460" t="b">
        <f>EXACT(D460,PROPER(D460))</f>
        <v>1</v>
      </c>
      <c r="G460">
        <v>50</v>
      </c>
      <c r="H460" t="b">
        <f>LEN(TRIM(G460))=0</f>
        <v>0</v>
      </c>
      <c r="I460" t="s">
        <v>32</v>
      </c>
      <c r="J460" t="b">
        <f>EXACT(I460,PROPER(I460))</f>
        <v>1</v>
      </c>
      <c r="K460" t="s">
        <v>29</v>
      </c>
      <c r="L460" t="str">
        <f>TRIM(K460)</f>
        <v>Finance</v>
      </c>
      <c r="M460" t="b">
        <f>K460&lt;&gt;L460</f>
        <v>0</v>
      </c>
      <c r="N460">
        <v>115775.45</v>
      </c>
      <c r="O460" t="b">
        <f>LEN(TRIM(N460))=0</f>
        <v>0</v>
      </c>
      <c r="P460" t="b">
        <f>AND(N460&gt;0, N460&lt;1000000)</f>
        <v>1</v>
      </c>
      <c r="Q460" t="s">
        <v>428</v>
      </c>
      <c r="R460" s="2" t="b">
        <f>LEN(TRIM(Q460))=0</f>
        <v>0</v>
      </c>
      <c r="S460" s="2" t="str">
        <f>IF(RIGHT(TRIM(Q460),9)="gmail.com","OK","Typo")</f>
        <v>OK</v>
      </c>
      <c r="T460" s="2" t="str">
        <f>A460&amp;D460&amp;G460&amp;I460&amp;K460&amp;N460&amp;Q460</f>
        <v>ZaraFemale50LahoreFinance115775.45zara21@gmail.com</v>
      </c>
      <c r="U460" s="2" t="b">
        <f>COUNTIF(T:T,T460)&gt;1</f>
        <v>0</v>
      </c>
    </row>
    <row r="461" spans="1:21">
      <c r="A461" t="s">
        <v>419</v>
      </c>
      <c r="B461" t="b">
        <f>LEN(TRIM(A461))=0</f>
        <v>0</v>
      </c>
      <c r="C461" t="b">
        <f>COUNTIF(A:A,A461)&gt;1</f>
        <v>1</v>
      </c>
      <c r="D461" t="s">
        <v>30</v>
      </c>
      <c r="E461" t="b">
        <f>LEN(TRIM(D461))=0</f>
        <v>0</v>
      </c>
      <c r="F461" t="b">
        <f>EXACT(D461,PROPER(D461))</f>
        <v>1</v>
      </c>
      <c r="H461" t="b">
        <f>LEN(TRIM(G461))=0</f>
        <v>1</v>
      </c>
      <c r="I461" t="s">
        <v>28</v>
      </c>
      <c r="J461" t="b">
        <f>EXACT(I461,PROPER(I461))</f>
        <v>1</v>
      </c>
      <c r="K461" t="s">
        <v>42</v>
      </c>
      <c r="L461" t="str">
        <f>TRIM(K461)</f>
        <v>IT</v>
      </c>
      <c r="M461" t="b">
        <f>K461&lt;&gt;L461</f>
        <v>0</v>
      </c>
      <c r="N461">
        <v>134041.88</v>
      </c>
      <c r="O461" t="b">
        <f>LEN(TRIM(N461))=0</f>
        <v>0</v>
      </c>
      <c r="P461" t="b">
        <f>AND(N461&gt;0, N461&lt;1000000)</f>
        <v>1</v>
      </c>
      <c r="Q461" t="s">
        <v>429</v>
      </c>
      <c r="R461" s="2" t="b">
        <f>LEN(TRIM(Q461))=0</f>
        <v>0</v>
      </c>
      <c r="S461" s="2" t="str">
        <f>IF(RIGHT(TRIM(Q461),9)="gmail.com","OK","Typo")</f>
        <v>OK</v>
      </c>
      <c r="T461" s="2" t="str">
        <f>A461&amp;D461&amp;G461&amp;I461&amp;K461&amp;N461&amp;Q461</f>
        <v>ZaraFemaleKarachiIT134041.88zara23@gmail.com</v>
      </c>
      <c r="U461" s="2" t="b">
        <f>COUNTIF(T:T,T461)&gt;1</f>
        <v>0</v>
      </c>
    </row>
    <row r="462" spans="1:21">
      <c r="A462" t="s">
        <v>419</v>
      </c>
      <c r="B462" t="b">
        <f>LEN(TRIM(A462))=0</f>
        <v>0</v>
      </c>
      <c r="C462" t="b">
        <f>COUNTIF(A:A,A462)&gt;1</f>
        <v>1</v>
      </c>
      <c r="D462" t="s">
        <v>22</v>
      </c>
      <c r="E462" t="b">
        <f>LEN(TRIM(D462))=0</f>
        <v>0</v>
      </c>
      <c r="F462" t="b">
        <f>EXACT(D462,PROPER(D462))</f>
        <v>1</v>
      </c>
      <c r="H462" t="b">
        <f>LEN(TRIM(G462))=0</f>
        <v>1</v>
      </c>
      <c r="I462" t="s">
        <v>45</v>
      </c>
      <c r="J462" t="b">
        <f>EXACT(I462,PROPER(I462))</f>
        <v>1</v>
      </c>
      <c r="K462" t="s">
        <v>24</v>
      </c>
      <c r="L462" t="str">
        <f>TRIM(K462)</f>
        <v>HR</v>
      </c>
      <c r="M462" t="b">
        <f>K462&lt;&gt;L462</f>
        <v>0</v>
      </c>
      <c r="N462">
        <v>77875.5</v>
      </c>
      <c r="O462" t="b">
        <f>LEN(TRIM(N462))=0</f>
        <v>0</v>
      </c>
      <c r="P462" t="b">
        <f>AND(N462&gt;0, N462&lt;1000000)</f>
        <v>1</v>
      </c>
      <c r="Q462" t="s">
        <v>430</v>
      </c>
      <c r="R462" s="2" t="b">
        <f>LEN(TRIM(Q462))=0</f>
        <v>0</v>
      </c>
      <c r="S462" s="2" t="str">
        <f>IF(RIGHT(TRIM(Q462),9)="gmail.com","OK","Typo")</f>
        <v>OK</v>
      </c>
      <c r="T462" s="2" t="str">
        <f>A462&amp;D462&amp;G462&amp;I462&amp;K462&amp;N462&amp;Q462</f>
        <v>ZaraMalePeshawarHR77875.5zara24@gmail.com</v>
      </c>
      <c r="U462" s="2" t="b">
        <f>COUNTIF(T:T,T462)&gt;1</f>
        <v>0</v>
      </c>
    </row>
    <row r="463" spans="1:21">
      <c r="A463" t="s">
        <v>419</v>
      </c>
      <c r="B463" t="b">
        <f>LEN(TRIM(A463))=0</f>
        <v>0</v>
      </c>
      <c r="C463" t="b">
        <f>COUNTIF(A:A,A463)&gt;1</f>
        <v>1</v>
      </c>
      <c r="D463" t="s">
        <v>22</v>
      </c>
      <c r="E463" t="b">
        <f>LEN(TRIM(D463))=0</f>
        <v>0</v>
      </c>
      <c r="F463" t="b">
        <f>EXACT(D463,PROPER(D463))</f>
        <v>1</v>
      </c>
      <c r="H463" t="b">
        <f>LEN(TRIM(G463))=0</f>
        <v>1</v>
      </c>
      <c r="I463" t="s">
        <v>37</v>
      </c>
      <c r="J463" t="b">
        <f>EXACT(I463,PROPER(I463))</f>
        <v>1</v>
      </c>
      <c r="K463" t="s">
        <v>47</v>
      </c>
      <c r="L463" t="str">
        <f>TRIM(K463)</f>
        <v>Sales</v>
      </c>
      <c r="M463" t="b">
        <f>K463&lt;&gt;L463</f>
        <v>1</v>
      </c>
      <c r="N463">
        <v>129911.66</v>
      </c>
      <c r="O463" t="b">
        <f>LEN(TRIM(N463))=0</f>
        <v>0</v>
      </c>
      <c r="P463" t="b">
        <f>AND(N463&gt;0, N463&lt;1000000)</f>
        <v>1</v>
      </c>
      <c r="Q463" t="s">
        <v>431</v>
      </c>
      <c r="R463" s="2" t="b">
        <f>LEN(TRIM(Q463))=0</f>
        <v>0</v>
      </c>
      <c r="S463" s="2" t="str">
        <f>IF(RIGHT(TRIM(Q463),9)="gmail.com","OK","Typo")</f>
        <v>OK</v>
      </c>
      <c r="T463" s="2" t="str">
        <f>A463&amp;D463&amp;G463&amp;I463&amp;K463&amp;N463&amp;Q463</f>
        <v>ZaraMaleIslamabad Sales 129911.66zara25@gmail.com</v>
      </c>
      <c r="U463" s="2" t="b">
        <f>COUNTIF(T:T,T463)&gt;1</f>
        <v>0</v>
      </c>
    </row>
    <row r="464" spans="1:21">
      <c r="A464" t="s">
        <v>419</v>
      </c>
      <c r="B464" t="b">
        <f>LEN(TRIM(A464))=0</f>
        <v>0</v>
      </c>
      <c r="C464" t="b">
        <f>COUNTIF(A:A,A464)&gt;1</f>
        <v>1</v>
      </c>
      <c r="D464" t="s">
        <v>30</v>
      </c>
      <c r="E464" t="b">
        <f>LEN(TRIM(D464))=0</f>
        <v>0</v>
      </c>
      <c r="F464" t="b">
        <f>EXACT(D464,PROPER(D464))</f>
        <v>1</v>
      </c>
      <c r="H464" t="b">
        <f>LEN(TRIM(G464))=0</f>
        <v>1</v>
      </c>
      <c r="I464" t="s">
        <v>28</v>
      </c>
      <c r="J464" t="b">
        <f>EXACT(I464,PROPER(I464))</f>
        <v>1</v>
      </c>
      <c r="K464" t="s">
        <v>38</v>
      </c>
      <c r="L464" t="str">
        <f>TRIM(K464)</f>
        <v>Sales</v>
      </c>
      <c r="M464" t="b">
        <f>K464&lt;&gt;L464</f>
        <v>0</v>
      </c>
      <c r="N464">
        <v>56058.77</v>
      </c>
      <c r="O464" t="b">
        <f>LEN(TRIM(N464))=0</f>
        <v>0</v>
      </c>
      <c r="P464" t="b">
        <f>AND(N464&gt;0, N464&lt;1000000)</f>
        <v>1</v>
      </c>
      <c r="Q464" t="s">
        <v>432</v>
      </c>
      <c r="R464" s="2" t="b">
        <f>LEN(TRIM(Q464))=0</f>
        <v>0</v>
      </c>
      <c r="S464" s="2" t="str">
        <f>IF(RIGHT(TRIM(Q464),9)="gmail.com","OK","Typo")</f>
        <v>OK</v>
      </c>
      <c r="T464" s="2" t="str">
        <f>A464&amp;D464&amp;G464&amp;I464&amp;K464&amp;N464&amp;Q464</f>
        <v>ZaraFemaleKarachiSales56058.77zara27@gmail.com</v>
      </c>
      <c r="U464" s="2" t="b">
        <f>COUNTIF(T:T,T464)&gt;1</f>
        <v>0</v>
      </c>
    </row>
    <row r="465" spans="1:21">
      <c r="A465" t="s">
        <v>419</v>
      </c>
      <c r="B465" t="b">
        <f>LEN(TRIM(A465))=0</f>
        <v>0</v>
      </c>
      <c r="C465" t="b">
        <f>COUNTIF(A:A,A465)&gt;1</f>
        <v>1</v>
      </c>
      <c r="D465" t="s">
        <v>30</v>
      </c>
      <c r="E465" t="b">
        <f>LEN(TRIM(D465))=0</f>
        <v>0</v>
      </c>
      <c r="F465" t="b">
        <f>EXACT(D465,PROPER(D465))</f>
        <v>1</v>
      </c>
      <c r="G465">
        <v>33</v>
      </c>
      <c r="H465" t="b">
        <f>LEN(TRIM(G465))=0</f>
        <v>0</v>
      </c>
      <c r="I465" t="s">
        <v>23</v>
      </c>
      <c r="J465" t="b">
        <f>EXACT(I465,PROPER(I465))</f>
        <v>1</v>
      </c>
      <c r="K465" t="s">
        <v>35</v>
      </c>
      <c r="L465" t="str">
        <f>TRIM(K465)</f>
        <v>Marketing</v>
      </c>
      <c r="M465" t="b">
        <f>K465&lt;&gt;L465</f>
        <v>0</v>
      </c>
      <c r="O465" t="b">
        <f>LEN(TRIM(N465))=0</f>
        <v>1</v>
      </c>
      <c r="P465" t="b">
        <f>AND(N465&gt;0, N465&lt;1000000)</f>
        <v>0</v>
      </c>
      <c r="Q465" t="s">
        <v>433</v>
      </c>
      <c r="R465" s="2" t="b">
        <f>LEN(TRIM(Q465))=0</f>
        <v>0</v>
      </c>
      <c r="S465" s="2" t="str">
        <f>IF(RIGHT(TRIM(Q465),9)="gmail.com","OK","Typo")</f>
        <v>OK</v>
      </c>
      <c r="T465" s="2" t="str">
        <f>A465&amp;D465&amp;G465&amp;I465&amp;K465&amp;N465&amp;Q465</f>
        <v>ZaraFemale33QuettaMarketingzara3@gmail.com</v>
      </c>
      <c r="U465" s="2" t="b">
        <f>COUNTIF(T:T,T465)&gt;1</f>
        <v>0</v>
      </c>
    </row>
    <row r="466" spans="1:21">
      <c r="A466" t="s">
        <v>419</v>
      </c>
      <c r="B466" t="b">
        <f>LEN(TRIM(A466))=0</f>
        <v>0</v>
      </c>
      <c r="C466" t="b">
        <f>COUNTIF(A:A,A466)&gt;1</f>
        <v>1</v>
      </c>
      <c r="D466" t="s">
        <v>22</v>
      </c>
      <c r="E466" t="b">
        <f>LEN(TRIM(D466))=0</f>
        <v>0</v>
      </c>
      <c r="F466" t="b">
        <f>EXACT(D466,PROPER(D466))</f>
        <v>1</v>
      </c>
      <c r="G466">
        <v>46</v>
      </c>
      <c r="H466" t="b">
        <f>LEN(TRIM(G466))=0</f>
        <v>0</v>
      </c>
      <c r="I466" t="s">
        <v>37</v>
      </c>
      <c r="J466" t="b">
        <f>EXACT(I466,PROPER(I466))</f>
        <v>1</v>
      </c>
      <c r="K466" t="s">
        <v>42</v>
      </c>
      <c r="L466" t="str">
        <f>TRIM(K466)</f>
        <v>IT</v>
      </c>
      <c r="M466" t="b">
        <f>K466&lt;&gt;L466</f>
        <v>0</v>
      </c>
      <c r="O466" t="b">
        <f>LEN(TRIM(N466))=0</f>
        <v>1</v>
      </c>
      <c r="P466" t="b">
        <f>AND(N466&gt;0, N466&lt;1000000)</f>
        <v>0</v>
      </c>
      <c r="Q466" t="s">
        <v>433</v>
      </c>
      <c r="R466" s="2" t="b">
        <f>LEN(TRIM(Q466))=0</f>
        <v>0</v>
      </c>
      <c r="S466" s="2" t="str">
        <f>IF(RIGHT(TRIM(Q466),9)="gmail.com","OK","Typo")</f>
        <v>OK</v>
      </c>
      <c r="T466" s="2" t="str">
        <f>A466&amp;D466&amp;G466&amp;I466&amp;K466&amp;N466&amp;Q466</f>
        <v>ZaraMale46IslamabadITzara3@gmail.com</v>
      </c>
      <c r="U466" s="2" t="b">
        <f>COUNTIF(T:T,T466)&gt;1</f>
        <v>0</v>
      </c>
    </row>
    <row r="467" spans="1:21">
      <c r="A467" t="s">
        <v>419</v>
      </c>
      <c r="B467" t="b">
        <f>LEN(TRIM(A467))=0</f>
        <v>0</v>
      </c>
      <c r="C467" t="b">
        <f>COUNTIF(A:A,A467)&gt;1</f>
        <v>1</v>
      </c>
      <c r="D467" t="s">
        <v>22</v>
      </c>
      <c r="E467" t="b">
        <f>LEN(TRIM(D467))=0</f>
        <v>0</v>
      </c>
      <c r="F467" t="b">
        <f>EXACT(D467,PROPER(D467))</f>
        <v>1</v>
      </c>
      <c r="G467">
        <v>56</v>
      </c>
      <c r="H467" t="b">
        <f>LEN(TRIM(G467))=0</f>
        <v>0</v>
      </c>
      <c r="I467" t="s">
        <v>28</v>
      </c>
      <c r="J467" t="b">
        <f>EXACT(I467,PROPER(I467))</f>
        <v>1</v>
      </c>
      <c r="K467" t="s">
        <v>29</v>
      </c>
      <c r="L467" t="str">
        <f>TRIM(K467)</f>
        <v>Finance</v>
      </c>
      <c r="M467" t="b">
        <f>K467&lt;&gt;L467</f>
        <v>0</v>
      </c>
      <c r="O467" t="b">
        <f>LEN(TRIM(N467))=0</f>
        <v>1</v>
      </c>
      <c r="P467" t="b">
        <f>AND(N467&gt;0, N467&lt;1000000)</f>
        <v>0</v>
      </c>
      <c r="Q467" t="s">
        <v>434</v>
      </c>
      <c r="R467" s="2" t="b">
        <f>LEN(TRIM(Q467))=0</f>
        <v>0</v>
      </c>
      <c r="S467" s="2" t="str">
        <f>IF(RIGHT(TRIM(Q467),9)="gmail.com","OK","Typo")</f>
        <v>OK</v>
      </c>
      <c r="T467" s="2" t="str">
        <f>A467&amp;D467&amp;G467&amp;I467&amp;K467&amp;N467&amp;Q467</f>
        <v>ZaraMale56KarachiFinancezara34@gmail.com</v>
      </c>
      <c r="U467" s="2" t="b">
        <f>COUNTIF(T:T,T467)&gt;1</f>
        <v>0</v>
      </c>
    </row>
    <row r="468" spans="1:21">
      <c r="A468" t="s">
        <v>419</v>
      </c>
      <c r="B468" t="b">
        <f>LEN(TRIM(A468))=0</f>
        <v>0</v>
      </c>
      <c r="C468" t="b">
        <f>COUNTIF(A:A,A468)&gt;1</f>
        <v>1</v>
      </c>
      <c r="D468" t="s">
        <v>22</v>
      </c>
      <c r="E468" t="b">
        <f>LEN(TRIM(D468))=0</f>
        <v>0</v>
      </c>
      <c r="F468" t="b">
        <f>EXACT(D468,PROPER(D468))</f>
        <v>1</v>
      </c>
      <c r="H468" t="b">
        <f>LEN(TRIM(G468))=0</f>
        <v>1</v>
      </c>
      <c r="I468" t="s">
        <v>23</v>
      </c>
      <c r="J468" t="b">
        <f>EXACT(I468,PROPER(I468))</f>
        <v>1</v>
      </c>
      <c r="K468" t="s">
        <v>24</v>
      </c>
      <c r="L468" t="str">
        <f>TRIM(K468)</f>
        <v>HR</v>
      </c>
      <c r="M468" t="b">
        <f>K468&lt;&gt;L468</f>
        <v>0</v>
      </c>
      <c r="O468" t="b">
        <f>LEN(TRIM(N468))=0</f>
        <v>1</v>
      </c>
      <c r="P468" t="b">
        <f>AND(N468&gt;0, N468&lt;1000000)</f>
        <v>0</v>
      </c>
      <c r="Q468" t="s">
        <v>434</v>
      </c>
      <c r="R468" s="2" t="b">
        <f>LEN(TRIM(Q468))=0</f>
        <v>0</v>
      </c>
      <c r="S468" s="2" t="str">
        <f>IF(RIGHT(TRIM(Q468),9)="gmail.com","OK","Typo")</f>
        <v>OK</v>
      </c>
      <c r="T468" s="2" t="str">
        <f>A468&amp;D468&amp;G468&amp;I468&amp;K468&amp;N468&amp;Q468</f>
        <v>ZaraMaleQuettaHRzara34@gmail.com</v>
      </c>
      <c r="U468" s="2" t="b">
        <f>COUNTIF(T:T,T468)&gt;1</f>
        <v>0</v>
      </c>
    </row>
    <row r="469" spans="1:21">
      <c r="A469" t="s">
        <v>419</v>
      </c>
      <c r="B469" t="b">
        <f>LEN(TRIM(A469))=0</f>
        <v>0</v>
      </c>
      <c r="C469" t="b">
        <f>COUNTIF(A:A,A469)&gt;1</f>
        <v>1</v>
      </c>
      <c r="D469" t="s">
        <v>30</v>
      </c>
      <c r="E469" t="b">
        <f>LEN(TRIM(D469))=0</f>
        <v>0</v>
      </c>
      <c r="F469" t="b">
        <f>EXACT(D469,PROPER(D469))</f>
        <v>1</v>
      </c>
      <c r="G469">
        <v>56</v>
      </c>
      <c r="H469" t="b">
        <f>LEN(TRIM(G469))=0</f>
        <v>0</v>
      </c>
      <c r="I469" t="s">
        <v>31</v>
      </c>
      <c r="J469" t="b">
        <f>EXACT(I469,PROPER(I469))</f>
        <v>0</v>
      </c>
      <c r="K469" t="s">
        <v>42</v>
      </c>
      <c r="L469" t="str">
        <f>TRIM(K469)</f>
        <v>IT</v>
      </c>
      <c r="M469" t="b">
        <f>K469&lt;&gt;L469</f>
        <v>0</v>
      </c>
      <c r="O469" t="b">
        <f>LEN(TRIM(N469))=0</f>
        <v>1</v>
      </c>
      <c r="P469" t="b">
        <f>AND(N469&gt;0, N469&lt;1000000)</f>
        <v>0</v>
      </c>
      <c r="Q469" t="s">
        <v>435</v>
      </c>
      <c r="R469" s="2" t="b">
        <f>LEN(TRIM(Q469))=0</f>
        <v>0</v>
      </c>
      <c r="S469" s="2" t="str">
        <f>IF(RIGHT(TRIM(Q469),9)="gmail.com","OK","Typo")</f>
        <v>OK</v>
      </c>
      <c r="T469" s="2" t="str">
        <f>A469&amp;D469&amp;G469&amp;I469&amp;K469&amp;N469&amp;Q469</f>
        <v>ZaraFemale56quettaITzara35@gmail.com</v>
      </c>
      <c r="U469" s="2" t="b">
        <f>COUNTIF(T:T,T469)&gt;1</f>
        <v>0</v>
      </c>
    </row>
    <row r="470" spans="1:21">
      <c r="A470" t="s">
        <v>419</v>
      </c>
      <c r="B470" t="b">
        <f>LEN(TRIM(A470))=0</f>
        <v>0</v>
      </c>
      <c r="C470" t="b">
        <f>COUNTIF(A:A,A470)&gt;1</f>
        <v>1</v>
      </c>
      <c r="D470" t="s">
        <v>30</v>
      </c>
      <c r="E470" t="b">
        <f>LEN(TRIM(D470))=0</f>
        <v>0</v>
      </c>
      <c r="F470" t="b">
        <f>EXACT(D470,PROPER(D470))</f>
        <v>1</v>
      </c>
      <c r="G470">
        <v>31</v>
      </c>
      <c r="H470" t="b">
        <f>LEN(TRIM(G470))=0</f>
        <v>0</v>
      </c>
      <c r="I470" t="s">
        <v>23</v>
      </c>
      <c r="J470" t="b">
        <f>EXACT(I470,PROPER(I470))</f>
        <v>1</v>
      </c>
      <c r="K470" t="s">
        <v>42</v>
      </c>
      <c r="L470" t="str">
        <f>TRIM(K470)</f>
        <v>IT</v>
      </c>
      <c r="M470" t="b">
        <f>K470&lt;&gt;L470</f>
        <v>0</v>
      </c>
      <c r="N470">
        <v>127555.58</v>
      </c>
      <c r="O470" t="b">
        <f>LEN(TRIM(N470))=0</f>
        <v>0</v>
      </c>
      <c r="P470" t="b">
        <f>AND(N470&gt;0, N470&lt;1000000)</f>
        <v>1</v>
      </c>
      <c r="Q470" t="s">
        <v>436</v>
      </c>
      <c r="R470" s="2" t="b">
        <f>LEN(TRIM(Q470))=0</f>
        <v>0</v>
      </c>
      <c r="S470" s="2" t="str">
        <f>IF(RIGHT(TRIM(Q470),9)="gmail.com","OK","Typo")</f>
        <v>OK</v>
      </c>
      <c r="T470" s="2" t="str">
        <f>A470&amp;D470&amp;G470&amp;I470&amp;K470&amp;N470&amp;Q470</f>
        <v>ZaraFemale31QuettaIT127555.58zara38@gmail.com</v>
      </c>
      <c r="U470" s="2" t="b">
        <f>COUNTIF(T:T,T470)&gt;1</f>
        <v>0</v>
      </c>
    </row>
    <row r="471" spans="1:21">
      <c r="A471" t="s">
        <v>419</v>
      </c>
      <c r="B471" t="b">
        <f>LEN(TRIM(A471))=0</f>
        <v>0</v>
      </c>
      <c r="C471" t="b">
        <f>COUNTIF(A:A,A471)&gt;1</f>
        <v>1</v>
      </c>
      <c r="D471" t="s">
        <v>30</v>
      </c>
      <c r="E471" t="b">
        <f>LEN(TRIM(D471))=0</f>
        <v>0</v>
      </c>
      <c r="F471" t="b">
        <f>EXACT(D471,PROPER(D471))</f>
        <v>1</v>
      </c>
      <c r="G471">
        <v>55</v>
      </c>
      <c r="H471" t="b">
        <f>LEN(TRIM(G471))=0</f>
        <v>0</v>
      </c>
      <c r="I471" t="s">
        <v>23</v>
      </c>
      <c r="J471" t="b">
        <f>EXACT(I471,PROPER(I471))</f>
        <v>1</v>
      </c>
      <c r="K471" t="s">
        <v>35</v>
      </c>
      <c r="L471" t="str">
        <f>TRIM(K471)</f>
        <v>Marketing</v>
      </c>
      <c r="M471" t="b">
        <f>K471&lt;&gt;L471</f>
        <v>0</v>
      </c>
      <c r="N471">
        <v>114766.66</v>
      </c>
      <c r="O471" t="b">
        <f>LEN(TRIM(N471))=0</f>
        <v>0</v>
      </c>
      <c r="P471" t="b">
        <f>AND(N471&gt;0, N471&lt;1000000)</f>
        <v>1</v>
      </c>
      <c r="Q471" t="s">
        <v>436</v>
      </c>
      <c r="R471" s="2" t="b">
        <f>LEN(TRIM(Q471))=0</f>
        <v>0</v>
      </c>
      <c r="S471" s="2" t="str">
        <f>IF(RIGHT(TRIM(Q471),9)="gmail.com","OK","Typo")</f>
        <v>OK</v>
      </c>
      <c r="T471" s="2" t="str">
        <f>A471&amp;D471&amp;G471&amp;I471&amp;K471&amp;N471&amp;Q471</f>
        <v>ZaraFemale55QuettaMarketing114766.66zara38@gmail.com</v>
      </c>
      <c r="U471" s="2" t="b">
        <f>COUNTIF(T:T,T471)&gt;1</f>
        <v>0</v>
      </c>
    </row>
    <row r="472" spans="1:21">
      <c r="A472" t="s">
        <v>419</v>
      </c>
      <c r="B472" t="b">
        <f>LEN(TRIM(A472))=0</f>
        <v>0</v>
      </c>
      <c r="C472" t="b">
        <f>COUNTIF(A:A,A472)&gt;1</f>
        <v>1</v>
      </c>
      <c r="D472" t="s">
        <v>30</v>
      </c>
      <c r="E472" t="b">
        <f>LEN(TRIM(D472))=0</f>
        <v>0</v>
      </c>
      <c r="F472" t="b">
        <f>EXACT(D472,PROPER(D472))</f>
        <v>1</v>
      </c>
      <c r="G472">
        <v>28</v>
      </c>
      <c r="H472" t="b">
        <f>LEN(TRIM(G472))=0</f>
        <v>0</v>
      </c>
      <c r="I472" t="s">
        <v>45</v>
      </c>
      <c r="J472" t="b">
        <f>EXACT(I472,PROPER(I472))</f>
        <v>1</v>
      </c>
      <c r="K472" t="s">
        <v>38</v>
      </c>
      <c r="L472" t="str">
        <f>TRIM(K472)</f>
        <v>Sales</v>
      </c>
      <c r="M472" t="b">
        <f>K472&lt;&gt;L472</f>
        <v>0</v>
      </c>
      <c r="O472" t="b">
        <f>LEN(TRIM(N472))=0</f>
        <v>1</v>
      </c>
      <c r="P472" t="b">
        <f>AND(N472&gt;0, N472&lt;1000000)</f>
        <v>0</v>
      </c>
      <c r="Q472" t="s">
        <v>437</v>
      </c>
      <c r="R472" s="2" t="b">
        <f>LEN(TRIM(Q472))=0</f>
        <v>0</v>
      </c>
      <c r="S472" s="2" t="str">
        <f>IF(RIGHT(TRIM(Q472),9)="gmail.com","OK","Typo")</f>
        <v>OK</v>
      </c>
      <c r="T472" s="2" t="str">
        <f>A472&amp;D472&amp;G472&amp;I472&amp;K472&amp;N472&amp;Q472</f>
        <v>ZaraFemale28PeshawarSaleszara39@gmail.com</v>
      </c>
      <c r="U472" s="2" t="b">
        <f>COUNTIF(T:T,T472)&gt;1</f>
        <v>0</v>
      </c>
    </row>
    <row r="473" spans="1:21">
      <c r="A473" t="s">
        <v>419</v>
      </c>
      <c r="B473" t="b">
        <f>LEN(TRIM(A473))=0</f>
        <v>0</v>
      </c>
      <c r="C473" t="b">
        <f>COUNTIF(A:A,A473)&gt;1</f>
        <v>1</v>
      </c>
      <c r="D473" t="s">
        <v>30</v>
      </c>
      <c r="E473" t="b">
        <f>LEN(TRIM(D473))=0</f>
        <v>0</v>
      </c>
      <c r="F473" t="b">
        <f>EXACT(D473,PROPER(D473))</f>
        <v>1</v>
      </c>
      <c r="H473" t="b">
        <f>LEN(TRIM(G473))=0</f>
        <v>1</v>
      </c>
      <c r="I473" t="s">
        <v>28</v>
      </c>
      <c r="J473" t="b">
        <f>EXACT(I473,PROPER(I473))</f>
        <v>1</v>
      </c>
      <c r="K473" t="s">
        <v>29</v>
      </c>
      <c r="L473" t="str">
        <f>TRIM(K473)</f>
        <v>Finance</v>
      </c>
      <c r="M473" t="b">
        <f>K473&lt;&gt;L473</f>
        <v>0</v>
      </c>
      <c r="N473">
        <v>88258.81</v>
      </c>
      <c r="O473" t="b">
        <f>LEN(TRIM(N473))=0</f>
        <v>0</v>
      </c>
      <c r="P473" t="b">
        <f>AND(N473&gt;0, N473&lt;1000000)</f>
        <v>1</v>
      </c>
      <c r="Q473" t="s">
        <v>438</v>
      </c>
      <c r="R473" s="2" t="b">
        <f>LEN(TRIM(Q473))=0</f>
        <v>0</v>
      </c>
      <c r="S473" s="2" t="str">
        <f>IF(RIGHT(TRIM(Q473),9)="gmail.com","OK","Typo")</f>
        <v>OK</v>
      </c>
      <c r="T473" s="2" t="str">
        <f>A473&amp;D473&amp;G473&amp;I473&amp;K473&amp;N473&amp;Q473</f>
        <v>ZaraFemaleKarachiFinance88258.81zara4@gmail.com</v>
      </c>
      <c r="U473" s="2" t="b">
        <f>COUNTIF(T:T,T473)&gt;1</f>
        <v>0</v>
      </c>
    </row>
    <row r="474" spans="1:21">
      <c r="A474" t="s">
        <v>419</v>
      </c>
      <c r="B474" t="b">
        <f>LEN(TRIM(A474))=0</f>
        <v>0</v>
      </c>
      <c r="C474" t="b">
        <f>COUNTIF(A:A,A474)&gt;1</f>
        <v>1</v>
      </c>
      <c r="D474" t="s">
        <v>30</v>
      </c>
      <c r="E474" t="b">
        <f>LEN(TRIM(D474))=0</f>
        <v>0</v>
      </c>
      <c r="F474" t="b">
        <f>EXACT(D474,PROPER(D474))</f>
        <v>1</v>
      </c>
      <c r="H474" t="b">
        <f>LEN(TRIM(G474))=0</f>
        <v>1</v>
      </c>
      <c r="I474" t="s">
        <v>101</v>
      </c>
      <c r="J474" t="b">
        <f>EXACT(I474,PROPER(I474))</f>
        <v>0</v>
      </c>
      <c r="K474" t="s">
        <v>35</v>
      </c>
      <c r="L474" t="str">
        <f>TRIM(K474)</f>
        <v>Marketing</v>
      </c>
      <c r="M474" t="b">
        <f>K474&lt;&gt;L474</f>
        <v>0</v>
      </c>
      <c r="O474" t="b">
        <f>LEN(TRIM(N474))=0</f>
        <v>1</v>
      </c>
      <c r="P474" t="b">
        <f>AND(N474&gt;0, N474&lt;1000000)</f>
        <v>0</v>
      </c>
      <c r="Q474" t="s">
        <v>439</v>
      </c>
      <c r="R474" s="2" t="b">
        <f>LEN(TRIM(Q474))=0</f>
        <v>0</v>
      </c>
      <c r="S474" s="2" t="str">
        <f>IF(RIGHT(TRIM(Q474),9)="gmail.com","OK","Typo")</f>
        <v>OK</v>
      </c>
      <c r="T474" s="2" t="str">
        <f>A474&amp;D474&amp;G474&amp;I474&amp;K474&amp;N474&amp;Q474</f>
        <v>ZaraFemalepeshawarMarketingzara40@gmail.com</v>
      </c>
      <c r="U474" s="2" t="b">
        <f>COUNTIF(T:T,T474)&gt;1</f>
        <v>0</v>
      </c>
    </row>
    <row r="475" spans="1:21">
      <c r="A475" t="s">
        <v>419</v>
      </c>
      <c r="B475" t="b">
        <f>LEN(TRIM(A475))=0</f>
        <v>0</v>
      </c>
      <c r="C475" t="b">
        <f>COUNTIF(A:A,A475)&gt;1</f>
        <v>1</v>
      </c>
      <c r="D475" t="s">
        <v>30</v>
      </c>
      <c r="E475" t="b">
        <f>LEN(TRIM(D475))=0</f>
        <v>0</v>
      </c>
      <c r="F475" t="b">
        <f>EXACT(D475,PROPER(D475))</f>
        <v>1</v>
      </c>
      <c r="G475">
        <v>48</v>
      </c>
      <c r="H475" t="b">
        <f>LEN(TRIM(G475))=0</f>
        <v>0</v>
      </c>
      <c r="I475" t="s">
        <v>52</v>
      </c>
      <c r="J475" t="b">
        <f>EXACT(I475,PROPER(I475))</f>
        <v>0</v>
      </c>
      <c r="K475" t="s">
        <v>42</v>
      </c>
      <c r="L475" t="str">
        <f>TRIM(K475)</f>
        <v>IT</v>
      </c>
      <c r="M475" t="b">
        <f>K475&lt;&gt;L475</f>
        <v>0</v>
      </c>
      <c r="N475">
        <v>125657.82</v>
      </c>
      <c r="O475" t="b">
        <f>LEN(TRIM(N475))=0</f>
        <v>0</v>
      </c>
      <c r="P475" t="b">
        <f>AND(N475&gt;0, N475&lt;1000000)</f>
        <v>1</v>
      </c>
      <c r="Q475" t="s">
        <v>440</v>
      </c>
      <c r="R475" s="2" t="b">
        <f>LEN(TRIM(Q475))=0</f>
        <v>0</v>
      </c>
      <c r="S475" s="2" t="str">
        <f>IF(RIGHT(TRIM(Q475),9)="gmail.com","OK","Typo")</f>
        <v>OK</v>
      </c>
      <c r="T475" s="2" t="str">
        <f>A475&amp;D475&amp;G475&amp;I475&amp;K475&amp;N475&amp;Q475</f>
        <v>ZaraFemale48lahoreIT125657.82zara46@gmail.com</v>
      </c>
      <c r="U475" s="2" t="b">
        <f>COUNTIF(T:T,T475)&gt;1</f>
        <v>0</v>
      </c>
    </row>
    <row r="476" spans="1:21">
      <c r="A476" t="s">
        <v>419</v>
      </c>
      <c r="B476" t="b">
        <f>LEN(TRIM(A476))=0</f>
        <v>0</v>
      </c>
      <c r="C476" t="b">
        <f>COUNTIF(A:A,A476)&gt;1</f>
        <v>1</v>
      </c>
      <c r="D476" t="s">
        <v>22</v>
      </c>
      <c r="E476" t="b">
        <f>LEN(TRIM(D476))=0</f>
        <v>0</v>
      </c>
      <c r="F476" t="b">
        <f>EXACT(D476,PROPER(D476))</f>
        <v>1</v>
      </c>
      <c r="G476">
        <v>59</v>
      </c>
      <c r="H476" t="b">
        <f>LEN(TRIM(G476))=0</f>
        <v>0</v>
      </c>
      <c r="I476" t="s">
        <v>157</v>
      </c>
      <c r="J476" t="b">
        <f>EXACT(I476,PROPER(I476))</f>
        <v>0</v>
      </c>
      <c r="K476" t="s">
        <v>42</v>
      </c>
      <c r="L476" t="str">
        <f>TRIM(K476)</f>
        <v>IT</v>
      </c>
      <c r="M476" t="b">
        <f>K476&lt;&gt;L476</f>
        <v>0</v>
      </c>
      <c r="N476">
        <v>95647.81</v>
      </c>
      <c r="O476" t="b">
        <f>LEN(TRIM(N476))=0</f>
        <v>0</v>
      </c>
      <c r="P476" t="b">
        <f>AND(N476&gt;0, N476&lt;1000000)</f>
        <v>1</v>
      </c>
      <c r="Q476" t="s">
        <v>441</v>
      </c>
      <c r="R476" s="2" t="b">
        <f>LEN(TRIM(Q476))=0</f>
        <v>0</v>
      </c>
      <c r="S476" s="2" t="str">
        <f>IF(RIGHT(TRIM(Q476),9)="gmail.com","OK","Typo")</f>
        <v>OK</v>
      </c>
      <c r="T476" s="2" t="str">
        <f>A476&amp;D476&amp;G476&amp;I476&amp;K476&amp;N476&amp;Q476</f>
        <v>ZaraMale59islamabadIT95647.81zara50@gmail.com</v>
      </c>
      <c r="U476" s="2" t="b">
        <f>COUNTIF(T:T,T476)&gt;1</f>
        <v>0</v>
      </c>
    </row>
    <row r="477" spans="1:21">
      <c r="A477" t="s">
        <v>419</v>
      </c>
      <c r="B477" t="b">
        <f>LEN(TRIM(A477))=0</f>
        <v>0</v>
      </c>
      <c r="C477" t="b">
        <f>COUNTIF(A:A,A477)&gt;1</f>
        <v>1</v>
      </c>
      <c r="D477" t="s">
        <v>30</v>
      </c>
      <c r="E477" t="b">
        <f>LEN(TRIM(D477))=0</f>
        <v>0</v>
      </c>
      <c r="F477" t="b">
        <f>EXACT(D477,PROPER(D477))</f>
        <v>1</v>
      </c>
      <c r="G477">
        <v>46</v>
      </c>
      <c r="H477" t="b">
        <f>LEN(TRIM(G477))=0</f>
        <v>0</v>
      </c>
      <c r="I477" t="s">
        <v>28</v>
      </c>
      <c r="J477" t="b">
        <f>EXACT(I477,PROPER(I477))</f>
        <v>1</v>
      </c>
      <c r="K477" t="s">
        <v>42</v>
      </c>
      <c r="L477" t="str">
        <f>TRIM(K477)</f>
        <v>IT</v>
      </c>
      <c r="M477" t="b">
        <f>K477&lt;&gt;L477</f>
        <v>0</v>
      </c>
      <c r="N477">
        <v>91990.42</v>
      </c>
      <c r="O477" t="b">
        <f>LEN(TRIM(N477))=0</f>
        <v>0</v>
      </c>
      <c r="P477" t="b">
        <f>AND(N477&gt;0, N477&lt;1000000)</f>
        <v>1</v>
      </c>
      <c r="Q477" t="s">
        <v>442</v>
      </c>
      <c r="R477" s="2" t="b">
        <f>LEN(TRIM(Q477))=0</f>
        <v>0</v>
      </c>
      <c r="S477" s="2" t="str">
        <f>IF(RIGHT(TRIM(Q477),9)="gmail.com","OK","Typo")</f>
        <v>OK</v>
      </c>
      <c r="T477" s="2" t="str">
        <f>A477&amp;D477&amp;G477&amp;I477&amp;K477&amp;N477&amp;Q477</f>
        <v>ZaraFemale46KarachiIT91990.42zara51@gmail.com</v>
      </c>
      <c r="U477" s="2" t="b">
        <f>COUNTIF(T:T,T477)&gt;1</f>
        <v>0</v>
      </c>
    </row>
    <row r="478" spans="1:21">
      <c r="A478" t="s">
        <v>419</v>
      </c>
      <c r="B478" t="b">
        <f>LEN(TRIM(A478))=0</f>
        <v>0</v>
      </c>
      <c r="C478" t="b">
        <f>COUNTIF(A:A,A478)&gt;1</f>
        <v>1</v>
      </c>
      <c r="D478" t="s">
        <v>30</v>
      </c>
      <c r="E478" t="b">
        <f>LEN(TRIM(D478))=0</f>
        <v>0</v>
      </c>
      <c r="F478" t="b">
        <f>EXACT(D478,PROPER(D478))</f>
        <v>1</v>
      </c>
      <c r="G478">
        <v>39</v>
      </c>
      <c r="H478" t="b">
        <f>LEN(TRIM(G478))=0</f>
        <v>0</v>
      </c>
      <c r="I478" t="s">
        <v>28</v>
      </c>
      <c r="J478" t="b">
        <f>EXACT(I478,PROPER(I478))</f>
        <v>1</v>
      </c>
      <c r="K478" t="s">
        <v>42</v>
      </c>
      <c r="L478" t="str">
        <f>TRIM(K478)</f>
        <v>IT</v>
      </c>
      <c r="M478" t="b">
        <f>K478&lt;&gt;L478</f>
        <v>0</v>
      </c>
      <c r="O478" t="b">
        <f>LEN(TRIM(N478))=0</f>
        <v>1</v>
      </c>
      <c r="P478" t="b">
        <f>AND(N478&gt;0, N478&lt;1000000)</f>
        <v>0</v>
      </c>
      <c r="Q478" t="s">
        <v>443</v>
      </c>
      <c r="R478" s="2" t="b">
        <f>LEN(TRIM(Q478))=0</f>
        <v>0</v>
      </c>
      <c r="S478" s="2" t="str">
        <f>IF(RIGHT(TRIM(Q478),9)="gmail.com","OK","Typo")</f>
        <v>OK</v>
      </c>
      <c r="T478" s="2" t="str">
        <f>A478&amp;D478&amp;G478&amp;I478&amp;K478&amp;N478&amp;Q478</f>
        <v>ZaraFemale39KarachiITzara55@gmail.com</v>
      </c>
      <c r="U478" s="2" t="b">
        <f>COUNTIF(T:T,T478)&gt;1</f>
        <v>0</v>
      </c>
    </row>
    <row r="479" spans="1:21">
      <c r="A479" t="s">
        <v>419</v>
      </c>
      <c r="B479" t="b">
        <f>LEN(TRIM(A479))=0</f>
        <v>0</v>
      </c>
      <c r="C479" t="b">
        <f>COUNTIF(A:A,A479)&gt;1</f>
        <v>1</v>
      </c>
      <c r="D479" t="s">
        <v>30</v>
      </c>
      <c r="E479" t="b">
        <f>LEN(TRIM(D479))=0</f>
        <v>0</v>
      </c>
      <c r="F479" t="b">
        <f>EXACT(D479,PROPER(D479))</f>
        <v>1</v>
      </c>
      <c r="G479">
        <v>56</v>
      </c>
      <c r="H479" t="b">
        <f>LEN(TRIM(G479))=0</f>
        <v>0</v>
      </c>
      <c r="I479" t="s">
        <v>23</v>
      </c>
      <c r="J479" t="b">
        <f>EXACT(I479,PROPER(I479))</f>
        <v>1</v>
      </c>
      <c r="K479" t="s">
        <v>24</v>
      </c>
      <c r="L479" t="str">
        <f>TRIM(K479)</f>
        <v>HR</v>
      </c>
      <c r="M479" t="b">
        <f>K479&lt;&gt;L479</f>
        <v>0</v>
      </c>
      <c r="N479">
        <v>40912.550000000003</v>
      </c>
      <c r="O479" t="b">
        <f>LEN(TRIM(N479))=0</f>
        <v>0</v>
      </c>
      <c r="P479" t="b">
        <f>AND(N479&gt;0, N479&lt;1000000)</f>
        <v>1</v>
      </c>
      <c r="Q479" t="s">
        <v>444</v>
      </c>
      <c r="R479" s="2" t="b">
        <f>LEN(TRIM(Q479))=0</f>
        <v>0</v>
      </c>
      <c r="S479" s="2" t="str">
        <f>IF(RIGHT(TRIM(Q479),9)="gmail.com","OK","Typo")</f>
        <v>OK</v>
      </c>
      <c r="T479" s="2" t="str">
        <f>A479&amp;D479&amp;G479&amp;I479&amp;K479&amp;N479&amp;Q479</f>
        <v>ZaraFemale56QuettaHR40912.55zara59@gmail.com</v>
      </c>
      <c r="U479" s="2" t="b">
        <f>COUNTIF(T:T,T479)&gt;1</f>
        <v>0</v>
      </c>
    </row>
    <row r="480" spans="1:21">
      <c r="A480" t="s">
        <v>419</v>
      </c>
      <c r="B480" t="b">
        <f>LEN(TRIM(A480))=0</f>
        <v>0</v>
      </c>
      <c r="C480" t="b">
        <f>COUNTIF(A:A,A480)&gt;1</f>
        <v>1</v>
      </c>
      <c r="D480" t="s">
        <v>30</v>
      </c>
      <c r="E480" t="b">
        <f>LEN(TRIM(D480))=0</f>
        <v>0</v>
      </c>
      <c r="F480" t="b">
        <f>EXACT(D480,PROPER(D480))</f>
        <v>1</v>
      </c>
      <c r="G480">
        <v>20</v>
      </c>
      <c r="H480" t="b">
        <f>LEN(TRIM(G480))=0</f>
        <v>0</v>
      </c>
      <c r="I480" t="s">
        <v>45</v>
      </c>
      <c r="J480" t="b">
        <f>EXACT(I480,PROPER(I480))</f>
        <v>1</v>
      </c>
      <c r="K480" t="s">
        <v>60</v>
      </c>
      <c r="L480" t="str">
        <f>TRIM(K480)</f>
        <v>Finance</v>
      </c>
      <c r="M480" t="b">
        <f>K480&lt;&gt;L480</f>
        <v>1</v>
      </c>
      <c r="N480">
        <v>115822.64</v>
      </c>
      <c r="O480" t="b">
        <f>LEN(TRIM(N480))=0</f>
        <v>0</v>
      </c>
      <c r="P480" t="b">
        <f>AND(N480&gt;0, N480&lt;1000000)</f>
        <v>1</v>
      </c>
      <c r="Q480" t="s">
        <v>445</v>
      </c>
      <c r="R480" s="2" t="b">
        <f>LEN(TRIM(Q480))=0</f>
        <v>0</v>
      </c>
      <c r="S480" s="2" t="str">
        <f>IF(RIGHT(TRIM(Q480),9)="gmail.com","OK","Typo")</f>
        <v>OK</v>
      </c>
      <c r="T480" s="2" t="str">
        <f>A480&amp;D480&amp;G480&amp;I480&amp;K480&amp;N480&amp;Q480</f>
        <v>ZaraFemale20Peshawar Finance 115822.64zara63@gmail.com</v>
      </c>
      <c r="U480" s="2" t="b">
        <f>COUNTIF(T:T,T480)&gt;1</f>
        <v>0</v>
      </c>
    </row>
    <row r="481" spans="1:21">
      <c r="A481" t="s">
        <v>419</v>
      </c>
      <c r="B481" t="b">
        <f>LEN(TRIM(A481))=0</f>
        <v>0</v>
      </c>
      <c r="C481" t="b">
        <f>COUNTIF(A:A,A481)&gt;1</f>
        <v>1</v>
      </c>
      <c r="D481" t="s">
        <v>30</v>
      </c>
      <c r="E481" t="b">
        <f>LEN(TRIM(D481))=0</f>
        <v>0</v>
      </c>
      <c r="F481" t="b">
        <f>EXACT(D481,PROPER(D481))</f>
        <v>1</v>
      </c>
      <c r="G481">
        <v>50</v>
      </c>
      <c r="H481" t="b">
        <f>LEN(TRIM(G481))=0</f>
        <v>0</v>
      </c>
      <c r="I481" t="s">
        <v>66</v>
      </c>
      <c r="J481" t="b">
        <f>EXACT(I481,PROPER(I481))</f>
        <v>0</v>
      </c>
      <c r="K481" t="s">
        <v>38</v>
      </c>
      <c r="L481" t="str">
        <f>TRIM(K481)</f>
        <v>Sales</v>
      </c>
      <c r="M481" t="b">
        <f>K481&lt;&gt;L481</f>
        <v>0</v>
      </c>
      <c r="N481">
        <v>31661.11</v>
      </c>
      <c r="O481" t="b">
        <f>LEN(TRIM(N481))=0</f>
        <v>0</v>
      </c>
      <c r="P481" t="b">
        <f>AND(N481&gt;0, N481&lt;1000000)</f>
        <v>1</v>
      </c>
      <c r="Q481" t="s">
        <v>445</v>
      </c>
      <c r="R481" s="2" t="b">
        <f>LEN(TRIM(Q481))=0</f>
        <v>0</v>
      </c>
      <c r="S481" s="2" t="str">
        <f>IF(RIGHT(TRIM(Q481),9)="gmail.com","OK","Typo")</f>
        <v>OK</v>
      </c>
      <c r="T481" s="2" t="str">
        <f>A481&amp;D481&amp;G481&amp;I481&amp;K481&amp;N481&amp;Q481</f>
        <v>ZaraFemale50karachiSales31661.11zara63@gmail.com</v>
      </c>
      <c r="U481" s="2" t="b">
        <f>COUNTIF(T:T,T481)&gt;1</f>
        <v>0</v>
      </c>
    </row>
    <row r="482" spans="1:21">
      <c r="A482" t="s">
        <v>419</v>
      </c>
      <c r="B482" t="b">
        <f>LEN(TRIM(A482))=0</f>
        <v>0</v>
      </c>
      <c r="C482" t="b">
        <f>COUNTIF(A:A,A482)&gt;1</f>
        <v>1</v>
      </c>
      <c r="D482" t="s">
        <v>22</v>
      </c>
      <c r="E482" t="b">
        <f>LEN(TRIM(D482))=0</f>
        <v>0</v>
      </c>
      <c r="F482" t="b">
        <f>EXACT(D482,PROPER(D482))</f>
        <v>1</v>
      </c>
      <c r="G482">
        <v>48</v>
      </c>
      <c r="H482" t="b">
        <f>LEN(TRIM(G482))=0</f>
        <v>0</v>
      </c>
      <c r="I482" t="s">
        <v>52</v>
      </c>
      <c r="J482" t="b">
        <f>EXACT(I482,PROPER(I482))</f>
        <v>0</v>
      </c>
      <c r="K482" t="s">
        <v>35</v>
      </c>
      <c r="L482" t="str">
        <f>TRIM(K482)</f>
        <v>Marketing</v>
      </c>
      <c r="M482" t="b">
        <f>K482&lt;&gt;L482</f>
        <v>0</v>
      </c>
      <c r="N482">
        <v>26048.44</v>
      </c>
      <c r="O482" t="b">
        <f>LEN(TRIM(N482))=0</f>
        <v>0</v>
      </c>
      <c r="P482" t="b">
        <f>AND(N482&gt;0, N482&lt;1000000)</f>
        <v>1</v>
      </c>
      <c r="Q482" t="s">
        <v>446</v>
      </c>
      <c r="R482" s="2" t="b">
        <f>LEN(TRIM(Q482))=0</f>
        <v>0</v>
      </c>
      <c r="S482" s="2" t="str">
        <f>IF(RIGHT(TRIM(Q482),9)="gmail.com","OK","Typo")</f>
        <v>Typo</v>
      </c>
      <c r="T482" s="2" t="str">
        <f>A482&amp;D482&amp;G482&amp;I482&amp;K482&amp;N482&amp;Q482</f>
        <v>ZaraMale48lahoreMarketing26048.44zara64@gamil.com</v>
      </c>
      <c r="U482" s="2" t="b">
        <f>COUNTIF(T:T,T482)&gt;1</f>
        <v>0</v>
      </c>
    </row>
    <row r="483" spans="1:21">
      <c r="A483" t="s">
        <v>419</v>
      </c>
      <c r="B483" t="b">
        <f>LEN(TRIM(A483))=0</f>
        <v>0</v>
      </c>
      <c r="C483" t="b">
        <f>COUNTIF(A:A,A483)&gt;1</f>
        <v>1</v>
      </c>
      <c r="D483" t="s">
        <v>30</v>
      </c>
      <c r="E483" t="b">
        <f>LEN(TRIM(D483))=0</f>
        <v>0</v>
      </c>
      <c r="F483" t="b">
        <f>EXACT(D483,PROPER(D483))</f>
        <v>1</v>
      </c>
      <c r="G483">
        <v>58</v>
      </c>
      <c r="H483" t="b">
        <f>LEN(TRIM(G483))=0</f>
        <v>0</v>
      </c>
      <c r="I483" t="s">
        <v>32</v>
      </c>
      <c r="J483" t="b">
        <f>EXACT(I483,PROPER(I483))</f>
        <v>1</v>
      </c>
      <c r="K483" t="s">
        <v>24</v>
      </c>
      <c r="L483" t="str">
        <f>TRIM(K483)</f>
        <v>HR</v>
      </c>
      <c r="M483" t="b">
        <f>K483&lt;&gt;L483</f>
        <v>0</v>
      </c>
      <c r="O483" t="b">
        <f>LEN(TRIM(N483))=0</f>
        <v>1</v>
      </c>
      <c r="P483" t="b">
        <f>AND(N483&gt;0, N483&lt;1000000)</f>
        <v>0</v>
      </c>
      <c r="Q483" t="s">
        <v>447</v>
      </c>
      <c r="R483" s="2" t="b">
        <f>LEN(TRIM(Q483))=0</f>
        <v>0</v>
      </c>
      <c r="S483" s="2" t="str">
        <f>IF(RIGHT(TRIM(Q483),9)="gmail.com","OK","Typo")</f>
        <v>OK</v>
      </c>
      <c r="T483" s="2" t="str">
        <f>A483&amp;D483&amp;G483&amp;I483&amp;K483&amp;N483&amp;Q483</f>
        <v>ZaraFemale58LahoreHRzara64@gmail.com</v>
      </c>
      <c r="U483" s="2" t="b">
        <f>COUNTIF(T:T,T483)&gt;1</f>
        <v>0</v>
      </c>
    </row>
    <row r="484" spans="1:21">
      <c r="A484" t="s">
        <v>419</v>
      </c>
      <c r="B484" t="b">
        <f>LEN(TRIM(A484))=0</f>
        <v>0</v>
      </c>
      <c r="C484" t="b">
        <f>COUNTIF(A:A,A484)&gt;1</f>
        <v>1</v>
      </c>
      <c r="D484" t="s">
        <v>22</v>
      </c>
      <c r="E484" t="b">
        <f>LEN(TRIM(D484))=0</f>
        <v>0</v>
      </c>
      <c r="F484" t="b">
        <f>EXACT(D484,PROPER(D484))</f>
        <v>1</v>
      </c>
      <c r="G484">
        <v>28</v>
      </c>
      <c r="H484" t="b">
        <f>LEN(TRIM(G484))=0</f>
        <v>0</v>
      </c>
      <c r="I484" t="s">
        <v>32</v>
      </c>
      <c r="J484" t="b">
        <f>EXACT(I484,PROPER(I484))</f>
        <v>1</v>
      </c>
      <c r="K484" t="s">
        <v>38</v>
      </c>
      <c r="L484" t="str">
        <f>TRIM(K484)</f>
        <v>Sales</v>
      </c>
      <c r="M484" t="b">
        <f>K484&lt;&gt;L484</f>
        <v>0</v>
      </c>
      <c r="N484">
        <v>104669.11</v>
      </c>
      <c r="O484" t="b">
        <f>LEN(TRIM(N484))=0</f>
        <v>0</v>
      </c>
      <c r="P484" t="b">
        <f>AND(N484&gt;0, N484&lt;1000000)</f>
        <v>1</v>
      </c>
      <c r="Q484" t="s">
        <v>448</v>
      </c>
      <c r="R484" s="2" t="b">
        <f>LEN(TRIM(Q484))=0</f>
        <v>0</v>
      </c>
      <c r="S484" s="2" t="str">
        <f>IF(RIGHT(TRIM(Q484),9)="gmail.com","OK","Typo")</f>
        <v>OK</v>
      </c>
      <c r="T484" s="2" t="str">
        <f>A484&amp;D484&amp;G484&amp;I484&amp;K484&amp;N484&amp;Q484</f>
        <v>ZaraMale28LahoreSales104669.11zara65@gmail.com</v>
      </c>
      <c r="U484" s="2" t="b">
        <f>COUNTIF(T:T,T484)&gt;1</f>
        <v>0</v>
      </c>
    </row>
    <row r="485" spans="1:21">
      <c r="A485" t="s">
        <v>419</v>
      </c>
      <c r="B485" t="b">
        <f>LEN(TRIM(A485))=0</f>
        <v>0</v>
      </c>
      <c r="C485" t="b">
        <f>COUNTIF(A:A,A485)&gt;1</f>
        <v>1</v>
      </c>
      <c r="D485" t="s">
        <v>30</v>
      </c>
      <c r="E485" t="b">
        <f>LEN(TRIM(D485))=0</f>
        <v>0</v>
      </c>
      <c r="F485" t="b">
        <f>EXACT(D485,PROPER(D485))</f>
        <v>1</v>
      </c>
      <c r="H485" t="b">
        <f>LEN(TRIM(G485))=0</f>
        <v>1</v>
      </c>
      <c r="I485" t="s">
        <v>31</v>
      </c>
      <c r="J485" t="b">
        <f>EXACT(I485,PROPER(I485))</f>
        <v>0</v>
      </c>
      <c r="K485" t="s">
        <v>35</v>
      </c>
      <c r="L485" t="str">
        <f>TRIM(K485)</f>
        <v>Marketing</v>
      </c>
      <c r="M485" t="b">
        <f>K485&lt;&gt;L485</f>
        <v>0</v>
      </c>
      <c r="O485" t="b">
        <f>LEN(TRIM(N485))=0</f>
        <v>1</v>
      </c>
      <c r="P485" t="b">
        <f>AND(N485&gt;0, N485&lt;1000000)</f>
        <v>0</v>
      </c>
      <c r="Q485" t="s">
        <v>449</v>
      </c>
      <c r="R485" s="2" t="b">
        <f>LEN(TRIM(Q485))=0</f>
        <v>0</v>
      </c>
      <c r="S485" s="2" t="str">
        <f>IF(RIGHT(TRIM(Q485),9)="gmail.com","OK","Typo")</f>
        <v>OK</v>
      </c>
      <c r="T485" s="2" t="str">
        <f>A485&amp;D485&amp;G485&amp;I485&amp;K485&amp;N485&amp;Q485</f>
        <v>ZaraFemalequettaMarketingzara69@gmail.com</v>
      </c>
      <c r="U485" s="2" t="b">
        <f>COUNTIF(T:T,T485)&gt;1</f>
        <v>0</v>
      </c>
    </row>
    <row r="486" spans="1:21">
      <c r="A486" t="s">
        <v>419</v>
      </c>
      <c r="B486" t="b">
        <f>LEN(TRIM(A486))=0</f>
        <v>0</v>
      </c>
      <c r="C486" t="b">
        <f>COUNTIF(A:A,A486)&gt;1</f>
        <v>1</v>
      </c>
      <c r="D486" t="s">
        <v>30</v>
      </c>
      <c r="E486" t="b">
        <f>LEN(TRIM(D486))=0</f>
        <v>0</v>
      </c>
      <c r="F486" t="b">
        <f>EXACT(D486,PROPER(D486))</f>
        <v>1</v>
      </c>
      <c r="H486" t="b">
        <f>LEN(TRIM(G486))=0</f>
        <v>1</v>
      </c>
      <c r="I486" t="s">
        <v>45</v>
      </c>
      <c r="J486" t="b">
        <f>EXACT(I486,PROPER(I486))</f>
        <v>1</v>
      </c>
      <c r="K486" t="s">
        <v>29</v>
      </c>
      <c r="L486" t="str">
        <f>TRIM(K486)</f>
        <v>Finance</v>
      </c>
      <c r="M486" t="b">
        <f>K486&lt;&gt;L486</f>
        <v>0</v>
      </c>
      <c r="O486" t="b">
        <f>LEN(TRIM(N486))=0</f>
        <v>1</v>
      </c>
      <c r="P486" t="b">
        <f>AND(N486&gt;0, N486&lt;1000000)</f>
        <v>0</v>
      </c>
      <c r="Q486" t="s">
        <v>449</v>
      </c>
      <c r="R486" s="2" t="b">
        <f>LEN(TRIM(Q486))=0</f>
        <v>0</v>
      </c>
      <c r="S486" s="2" t="str">
        <f>IF(RIGHT(TRIM(Q486),9)="gmail.com","OK","Typo")</f>
        <v>OK</v>
      </c>
      <c r="T486" s="2" t="str">
        <f>A486&amp;D486&amp;G486&amp;I486&amp;K486&amp;N486&amp;Q486</f>
        <v>ZaraFemalePeshawarFinancezara69@gmail.com</v>
      </c>
      <c r="U486" s="2" t="b">
        <f>COUNTIF(T:T,T486)&gt;1</f>
        <v>0</v>
      </c>
    </row>
    <row r="487" spans="1:21">
      <c r="A487" t="s">
        <v>419</v>
      </c>
      <c r="B487" t="b">
        <f>LEN(TRIM(A487))=0</f>
        <v>0</v>
      </c>
      <c r="C487" t="b">
        <f>COUNTIF(A:A,A487)&gt;1</f>
        <v>1</v>
      </c>
      <c r="D487" t="s">
        <v>22</v>
      </c>
      <c r="E487" t="b">
        <f>LEN(TRIM(D487))=0</f>
        <v>0</v>
      </c>
      <c r="F487" t="b">
        <f>EXACT(D487,PROPER(D487))</f>
        <v>1</v>
      </c>
      <c r="H487" t="b">
        <f>LEN(TRIM(G487))=0</f>
        <v>1</v>
      </c>
      <c r="I487" t="s">
        <v>45</v>
      </c>
      <c r="J487" t="b">
        <f>EXACT(I487,PROPER(I487))</f>
        <v>1</v>
      </c>
      <c r="K487" t="s">
        <v>38</v>
      </c>
      <c r="L487" t="str">
        <f>TRIM(K487)</f>
        <v>Sales</v>
      </c>
      <c r="M487" t="b">
        <f>K487&lt;&gt;L487</f>
        <v>0</v>
      </c>
      <c r="O487" t="b">
        <f>LEN(TRIM(N487))=0</f>
        <v>1</v>
      </c>
      <c r="P487" t="b">
        <f>AND(N487&gt;0, N487&lt;1000000)</f>
        <v>0</v>
      </c>
      <c r="Q487" t="s">
        <v>450</v>
      </c>
      <c r="R487" s="2" t="b">
        <f>LEN(TRIM(Q487))=0</f>
        <v>0</v>
      </c>
      <c r="S487" s="2" t="str">
        <f>IF(RIGHT(TRIM(Q487),9)="gmail.com","OK","Typo")</f>
        <v>OK</v>
      </c>
      <c r="T487" s="2" t="str">
        <f>A487&amp;D487&amp;G487&amp;I487&amp;K487&amp;N487&amp;Q487</f>
        <v>ZaraMalePeshawarSaleszara7@gmail.com</v>
      </c>
      <c r="U487" s="2" t="b">
        <f>COUNTIF(T:T,T487)&gt;1</f>
        <v>0</v>
      </c>
    </row>
    <row r="488" spans="1:21">
      <c r="A488" t="s">
        <v>419</v>
      </c>
      <c r="B488" t="b">
        <f>LEN(TRIM(A488))=0</f>
        <v>0</v>
      </c>
      <c r="C488" t="b">
        <f>COUNTIF(A:A,A488)&gt;1</f>
        <v>1</v>
      </c>
      <c r="D488" t="s">
        <v>22</v>
      </c>
      <c r="E488" t="b">
        <f>LEN(TRIM(D488))=0</f>
        <v>0</v>
      </c>
      <c r="F488" t="b">
        <f>EXACT(D488,PROPER(D488))</f>
        <v>1</v>
      </c>
      <c r="G488">
        <v>36</v>
      </c>
      <c r="H488" t="b">
        <f>LEN(TRIM(G488))=0</f>
        <v>0</v>
      </c>
      <c r="I488" t="s">
        <v>45</v>
      </c>
      <c r="J488" t="b">
        <f>EXACT(I488,PROPER(I488))</f>
        <v>1</v>
      </c>
      <c r="K488" t="s">
        <v>26</v>
      </c>
      <c r="L488" t="str">
        <f>TRIM(K488)</f>
        <v>HR</v>
      </c>
      <c r="M488" t="b">
        <f>K488&lt;&gt;L488</f>
        <v>1</v>
      </c>
      <c r="N488">
        <v>117385.43</v>
      </c>
      <c r="O488" t="b">
        <f>LEN(TRIM(N488))=0</f>
        <v>0</v>
      </c>
      <c r="P488" t="b">
        <f>AND(N488&gt;0, N488&lt;1000000)</f>
        <v>1</v>
      </c>
      <c r="Q488" t="s">
        <v>451</v>
      </c>
      <c r="R488" s="2" t="b">
        <f>LEN(TRIM(Q488))=0</f>
        <v>0</v>
      </c>
      <c r="S488" s="2" t="str">
        <f>IF(RIGHT(TRIM(Q488),9)="gmail.com","OK","Typo")</f>
        <v>OK</v>
      </c>
      <c r="T488" s="2" t="str">
        <f>A488&amp;D488&amp;G488&amp;I488&amp;K488&amp;N488&amp;Q488</f>
        <v>ZaraMale36Peshawar HR 117385.43zara70@gmail.com</v>
      </c>
      <c r="U488" s="2" t="b">
        <f>COUNTIF(T:T,T488)&gt;1</f>
        <v>0</v>
      </c>
    </row>
    <row r="489" spans="1:21">
      <c r="A489" t="s">
        <v>419</v>
      </c>
      <c r="B489" t="b">
        <f>LEN(TRIM(A489))=0</f>
        <v>0</v>
      </c>
      <c r="C489" t="b">
        <f>COUNTIF(A:A,A489)&gt;1</f>
        <v>1</v>
      </c>
      <c r="D489" t="s">
        <v>22</v>
      </c>
      <c r="E489" t="b">
        <f>LEN(TRIM(D489))=0</f>
        <v>0</v>
      </c>
      <c r="F489" t="b">
        <f>EXACT(D489,PROPER(D489))</f>
        <v>1</v>
      </c>
      <c r="G489">
        <v>37</v>
      </c>
      <c r="H489" t="b">
        <f>LEN(TRIM(G489))=0</f>
        <v>0</v>
      </c>
      <c r="I489" t="s">
        <v>23</v>
      </c>
      <c r="J489" t="b">
        <f>EXACT(I489,PROPER(I489))</f>
        <v>1</v>
      </c>
      <c r="K489" t="s">
        <v>24</v>
      </c>
      <c r="L489" t="str">
        <f>TRIM(K489)</f>
        <v>HR</v>
      </c>
      <c r="M489" t="b">
        <f>K489&lt;&gt;L489</f>
        <v>0</v>
      </c>
      <c r="O489" t="b">
        <f>LEN(TRIM(N489))=0</f>
        <v>1</v>
      </c>
      <c r="P489" t="b">
        <f>AND(N489&gt;0, N489&lt;1000000)</f>
        <v>0</v>
      </c>
      <c r="Q489" t="s">
        <v>452</v>
      </c>
      <c r="R489" s="2" t="b">
        <f>LEN(TRIM(Q489))=0</f>
        <v>0</v>
      </c>
      <c r="S489" s="2" t="str">
        <f>IF(RIGHT(TRIM(Q489),9)="gmail.com","OK","Typo")</f>
        <v>OK</v>
      </c>
      <c r="T489" s="2" t="str">
        <f>A489&amp;D489&amp;G489&amp;I489&amp;K489&amp;N489&amp;Q489</f>
        <v>ZaraMale37QuettaHRzara71@gmail.com</v>
      </c>
      <c r="U489" s="2" t="b">
        <f>COUNTIF(T:T,T489)&gt;1</f>
        <v>0</v>
      </c>
    </row>
    <row r="490" spans="1:21">
      <c r="A490" t="s">
        <v>419</v>
      </c>
      <c r="B490" t="b">
        <f>LEN(TRIM(A490))=0</f>
        <v>0</v>
      </c>
      <c r="C490" t="b">
        <f>COUNTIF(A:A,A490)&gt;1</f>
        <v>1</v>
      </c>
      <c r="D490" t="s">
        <v>22</v>
      </c>
      <c r="E490" t="b">
        <f>LEN(TRIM(D490))=0</f>
        <v>0</v>
      </c>
      <c r="F490" t="b">
        <f>EXACT(D490,PROPER(D490))</f>
        <v>1</v>
      </c>
      <c r="H490" t="b">
        <f>LEN(TRIM(G490))=0</f>
        <v>1</v>
      </c>
      <c r="I490" t="s">
        <v>28</v>
      </c>
      <c r="J490" t="b">
        <f>EXACT(I490,PROPER(I490))</f>
        <v>1</v>
      </c>
      <c r="K490" t="s">
        <v>33</v>
      </c>
      <c r="L490" t="str">
        <f>TRIM(K490)</f>
        <v>IT</v>
      </c>
      <c r="M490" t="b">
        <f>K490&lt;&gt;L490</f>
        <v>1</v>
      </c>
      <c r="O490" t="b">
        <f>LEN(TRIM(N490))=0</f>
        <v>1</v>
      </c>
      <c r="P490" t="b">
        <f>AND(N490&gt;0, N490&lt;1000000)</f>
        <v>0</v>
      </c>
      <c r="Q490" t="s">
        <v>453</v>
      </c>
      <c r="R490" s="2" t="b">
        <f>LEN(TRIM(Q490))=0</f>
        <v>0</v>
      </c>
      <c r="S490" s="2" t="str">
        <f>IF(RIGHT(TRIM(Q490),9)="gmail.com","OK","Typo")</f>
        <v>OK</v>
      </c>
      <c r="T490" s="2" t="str">
        <f>A490&amp;D490&amp;G490&amp;I490&amp;K490&amp;N490&amp;Q490</f>
        <v>ZaraMaleKarachi IT zara74@gmail.com</v>
      </c>
      <c r="U490" s="2" t="b">
        <f>COUNTIF(T:T,T490)&gt;1</f>
        <v>0</v>
      </c>
    </row>
    <row r="491" spans="1:21">
      <c r="A491" t="s">
        <v>419</v>
      </c>
      <c r="B491" t="b">
        <f>LEN(TRIM(A491))=0</f>
        <v>0</v>
      </c>
      <c r="C491" t="b">
        <f>COUNTIF(A:A,A491)&gt;1</f>
        <v>1</v>
      </c>
      <c r="D491" t="s">
        <v>30</v>
      </c>
      <c r="E491" t="b">
        <f>LEN(TRIM(D491))=0</f>
        <v>0</v>
      </c>
      <c r="F491" t="b">
        <f>EXACT(D491,PROPER(D491))</f>
        <v>1</v>
      </c>
      <c r="G491">
        <v>56</v>
      </c>
      <c r="H491" t="b">
        <f>LEN(TRIM(G491))=0</f>
        <v>0</v>
      </c>
      <c r="I491" t="s">
        <v>32</v>
      </c>
      <c r="J491" t="b">
        <f>EXACT(I491,PROPER(I491))</f>
        <v>1</v>
      </c>
      <c r="K491" t="s">
        <v>29</v>
      </c>
      <c r="L491" t="str">
        <f>TRIM(K491)</f>
        <v>Finance</v>
      </c>
      <c r="M491" t="b">
        <f>K491&lt;&gt;L491</f>
        <v>0</v>
      </c>
      <c r="O491" t="b">
        <f>LEN(TRIM(N491))=0</f>
        <v>1</v>
      </c>
      <c r="P491" t="b">
        <f>AND(N491&gt;0, N491&lt;1000000)</f>
        <v>0</v>
      </c>
      <c r="Q491" t="s">
        <v>454</v>
      </c>
      <c r="R491" s="2" t="b">
        <f>LEN(TRIM(Q491))=0</f>
        <v>0</v>
      </c>
      <c r="S491" s="2" t="str">
        <f>IF(RIGHT(TRIM(Q491),9)="gmail.com","OK","Typo")</f>
        <v>OK</v>
      </c>
      <c r="T491" s="2" t="str">
        <f>A491&amp;D491&amp;G491&amp;I491&amp;K491&amp;N491&amp;Q491</f>
        <v>ZaraFemale56LahoreFinancezara75@gmail.com</v>
      </c>
      <c r="U491" s="2" t="b">
        <f>COUNTIF(T:T,T491)&gt;1</f>
        <v>0</v>
      </c>
    </row>
    <row r="492" spans="1:21">
      <c r="A492" t="s">
        <v>419</v>
      </c>
      <c r="B492" t="b">
        <f>LEN(TRIM(A492))=0</f>
        <v>0</v>
      </c>
      <c r="C492" t="b">
        <f>COUNTIF(A:A,A492)&gt;1</f>
        <v>1</v>
      </c>
      <c r="D492" t="s">
        <v>30</v>
      </c>
      <c r="E492" t="b">
        <f>LEN(TRIM(D492))=0</f>
        <v>0</v>
      </c>
      <c r="F492" t="b">
        <f>EXACT(D492,PROPER(D492))</f>
        <v>1</v>
      </c>
      <c r="H492" t="b">
        <f>LEN(TRIM(G492))=0</f>
        <v>1</v>
      </c>
      <c r="I492" t="s">
        <v>45</v>
      </c>
      <c r="J492" t="b">
        <f>EXACT(I492,PROPER(I492))</f>
        <v>1</v>
      </c>
      <c r="K492" t="s">
        <v>38</v>
      </c>
      <c r="L492" t="str">
        <f>TRIM(K492)</f>
        <v>Sales</v>
      </c>
      <c r="M492" t="b">
        <f>K492&lt;&gt;L492</f>
        <v>0</v>
      </c>
      <c r="N492">
        <v>32891.11</v>
      </c>
      <c r="O492" t="b">
        <f>LEN(TRIM(N492))=0</f>
        <v>0</v>
      </c>
      <c r="P492" t="b">
        <f>AND(N492&gt;0, N492&lt;1000000)</f>
        <v>1</v>
      </c>
      <c r="Q492" t="s">
        <v>455</v>
      </c>
      <c r="R492" s="2" t="b">
        <f>LEN(TRIM(Q492))=0</f>
        <v>0</v>
      </c>
      <c r="S492" s="2" t="str">
        <f>IF(RIGHT(TRIM(Q492),9)="gmail.com","OK","Typo")</f>
        <v>OK</v>
      </c>
      <c r="T492" s="2" t="str">
        <f>A492&amp;D492&amp;G492&amp;I492&amp;K492&amp;N492&amp;Q492</f>
        <v>ZaraFemalePeshawarSales32891.11zara79@gmail.com</v>
      </c>
      <c r="U492" s="2" t="b">
        <f>COUNTIF(T:T,T492)&gt;1</f>
        <v>0</v>
      </c>
    </row>
    <row r="493" spans="1:21">
      <c r="A493" t="s">
        <v>419</v>
      </c>
      <c r="B493" t="b">
        <f>LEN(TRIM(A493))=0</f>
        <v>0</v>
      </c>
      <c r="C493" t="b">
        <f>COUNTIF(A:A,A493)&gt;1</f>
        <v>1</v>
      </c>
      <c r="D493" t="s">
        <v>30</v>
      </c>
      <c r="E493" t="b">
        <f>LEN(TRIM(D493))=0</f>
        <v>0</v>
      </c>
      <c r="F493" t="b">
        <f>EXACT(D493,PROPER(D493))</f>
        <v>1</v>
      </c>
      <c r="G493">
        <v>38</v>
      </c>
      <c r="H493" t="b">
        <f>LEN(TRIM(G493))=0</f>
        <v>0</v>
      </c>
      <c r="I493" t="s">
        <v>23</v>
      </c>
      <c r="J493" t="b">
        <f>EXACT(I493,PROPER(I493))</f>
        <v>1</v>
      </c>
      <c r="K493" t="s">
        <v>24</v>
      </c>
      <c r="L493" t="str">
        <f>TRIM(K493)</f>
        <v>HR</v>
      </c>
      <c r="M493" t="b">
        <f>K493&lt;&gt;L493</f>
        <v>0</v>
      </c>
      <c r="O493" t="b">
        <f>LEN(TRIM(N493))=0</f>
        <v>1</v>
      </c>
      <c r="P493" t="b">
        <f>AND(N493&gt;0, N493&lt;1000000)</f>
        <v>0</v>
      </c>
      <c r="Q493" t="s">
        <v>456</v>
      </c>
      <c r="R493" s="2" t="b">
        <f>LEN(TRIM(Q493))=0</f>
        <v>0</v>
      </c>
      <c r="S493" s="2" t="str">
        <f>IF(RIGHT(TRIM(Q493),9)="gmail.com","OK","Typo")</f>
        <v>OK</v>
      </c>
      <c r="T493" s="2" t="str">
        <f>A493&amp;D493&amp;G493&amp;I493&amp;K493&amp;N493&amp;Q493</f>
        <v>ZaraFemale38QuettaHRzara91@gmail.com</v>
      </c>
      <c r="U493" s="2" t="b">
        <f>COUNTIF(T:T,T493)&gt;1</f>
        <v>0</v>
      </c>
    </row>
    <row r="494" spans="1:21">
      <c r="A494" t="s">
        <v>419</v>
      </c>
      <c r="B494" t="b">
        <f>LEN(TRIM(A494))=0</f>
        <v>0</v>
      </c>
      <c r="C494" t="b">
        <f>COUNTIF(A:A,A494)&gt;1</f>
        <v>1</v>
      </c>
      <c r="D494" t="s">
        <v>30</v>
      </c>
      <c r="E494" t="b">
        <f>LEN(TRIM(D494))=0</f>
        <v>0</v>
      </c>
      <c r="F494" t="b">
        <f>EXACT(D494,PROPER(D494))</f>
        <v>1</v>
      </c>
      <c r="G494">
        <v>41</v>
      </c>
      <c r="H494" t="b">
        <f>LEN(TRIM(G494))=0</f>
        <v>0</v>
      </c>
      <c r="I494" t="s">
        <v>28</v>
      </c>
      <c r="J494" t="b">
        <f>EXACT(I494,PROPER(I494))</f>
        <v>1</v>
      </c>
      <c r="K494" t="s">
        <v>35</v>
      </c>
      <c r="L494" t="str">
        <f>TRIM(K494)</f>
        <v>Marketing</v>
      </c>
      <c r="M494" t="b">
        <f>K494&lt;&gt;L494</f>
        <v>0</v>
      </c>
      <c r="N494">
        <v>32513.63</v>
      </c>
      <c r="O494" t="b">
        <f>LEN(TRIM(N494))=0</f>
        <v>0</v>
      </c>
      <c r="P494" t="b">
        <f>AND(N494&gt;0, N494&lt;1000000)</f>
        <v>1</v>
      </c>
      <c r="Q494" t="s">
        <v>457</v>
      </c>
      <c r="R494" s="2" t="b">
        <f>LEN(TRIM(Q494))=0</f>
        <v>0</v>
      </c>
      <c r="S494" s="2" t="str">
        <f>IF(RIGHT(TRIM(Q494),9)="gmail.com","OK","Typo")</f>
        <v>OK</v>
      </c>
      <c r="T494" s="2" t="str">
        <f>A494&amp;D494&amp;G494&amp;I494&amp;K494&amp;N494&amp;Q494</f>
        <v>ZaraFemale41KarachiMarketing32513.63zara96@gmail.com</v>
      </c>
      <c r="U494" s="2" t="b">
        <f>COUNTIF(T:T,T494)&gt;1</f>
        <v>0</v>
      </c>
    </row>
    <row r="495" spans="1:21">
      <c r="A495" t="s">
        <v>419</v>
      </c>
      <c r="B495" t="b">
        <f>LEN(TRIM(A495))=0</f>
        <v>0</v>
      </c>
      <c r="C495" t="b">
        <f>COUNTIF(A:A,A495)&gt;1</f>
        <v>1</v>
      </c>
      <c r="D495" t="s">
        <v>30</v>
      </c>
      <c r="E495" t="b">
        <f>LEN(TRIM(D495))=0</f>
        <v>0</v>
      </c>
      <c r="F495" t="b">
        <f>EXACT(D495,PROPER(D495))</f>
        <v>1</v>
      </c>
      <c r="H495" t="b">
        <f>LEN(TRIM(G495))=0</f>
        <v>1</v>
      </c>
      <c r="I495" t="s">
        <v>23</v>
      </c>
      <c r="J495" t="b">
        <f>EXACT(I495,PROPER(I495))</f>
        <v>1</v>
      </c>
      <c r="K495" t="s">
        <v>35</v>
      </c>
      <c r="L495" t="str">
        <f>TRIM(K495)</f>
        <v>Marketing</v>
      </c>
      <c r="M495" t="b">
        <f>K495&lt;&gt;L495</f>
        <v>0</v>
      </c>
      <c r="N495">
        <v>109164.25</v>
      </c>
      <c r="O495" t="b">
        <f>LEN(TRIM(N495))=0</f>
        <v>0</v>
      </c>
      <c r="P495" t="b">
        <f>AND(N495&gt;0, N495&lt;1000000)</f>
        <v>1</v>
      </c>
      <c r="Q495" t="s">
        <v>458</v>
      </c>
      <c r="R495" s="2" t="b">
        <f>LEN(TRIM(Q495))=0</f>
        <v>0</v>
      </c>
      <c r="S495" s="2" t="str">
        <f>IF(RIGHT(TRIM(Q495),9)="gmail.com","OK","Typo")</f>
        <v>OK</v>
      </c>
      <c r="T495" s="2" t="str">
        <f>A495&amp;D495&amp;G495&amp;I495&amp;K495&amp;N495&amp;Q495</f>
        <v>ZaraFemaleQuettaMarketing109164.25zara97@gmail.com</v>
      </c>
      <c r="U495" s="2" t="b">
        <f>COUNTIF(T:T,T495)&gt;1</f>
        <v>0</v>
      </c>
    </row>
    <row r="496" spans="1:21">
      <c r="A496" t="s">
        <v>419</v>
      </c>
      <c r="B496" t="b">
        <f>LEN(TRIM(A496))=0</f>
        <v>0</v>
      </c>
      <c r="C496" t="b">
        <f>COUNTIF(A:A,A496)&gt;1</f>
        <v>1</v>
      </c>
      <c r="D496" t="s">
        <v>30</v>
      </c>
      <c r="E496" t="b">
        <f>LEN(TRIM(D496))=0</f>
        <v>0</v>
      </c>
      <c r="F496" t="b">
        <f>EXACT(D496,PROPER(D496))</f>
        <v>1</v>
      </c>
      <c r="G496">
        <v>52</v>
      </c>
      <c r="H496" t="b">
        <f>LEN(TRIM(G496))=0</f>
        <v>0</v>
      </c>
      <c r="I496" t="s">
        <v>28</v>
      </c>
      <c r="J496" t="b">
        <f>EXACT(I496,PROPER(I496))</f>
        <v>1</v>
      </c>
      <c r="K496" t="s">
        <v>29</v>
      </c>
      <c r="L496" t="str">
        <f>TRIM(K496)</f>
        <v>Finance</v>
      </c>
      <c r="M496" t="b">
        <f>K496&lt;&gt;L496</f>
        <v>0</v>
      </c>
      <c r="O496" t="b">
        <f>LEN(TRIM(N496))=0</f>
        <v>1</v>
      </c>
      <c r="P496" t="b">
        <f>AND(N496&gt;0, N496&lt;1000000)</f>
        <v>0</v>
      </c>
      <c r="Q496" t="s">
        <v>458</v>
      </c>
      <c r="R496" s="2" t="b">
        <f>LEN(TRIM(Q496))=0</f>
        <v>0</v>
      </c>
      <c r="S496" s="2" t="str">
        <f>IF(RIGHT(TRIM(Q496),9)="gmail.com","OK","Typo")</f>
        <v>OK</v>
      </c>
      <c r="T496" s="2" t="str">
        <f>A496&amp;D496&amp;G496&amp;I496&amp;K496&amp;N496&amp;Q496</f>
        <v>ZaraFemale52KarachiFinancezara97@gmail.com</v>
      </c>
      <c r="U496" s="2" t="b">
        <f>COUNTIF(T:T,T496)&gt;1</f>
        <v>0</v>
      </c>
    </row>
    <row r="497" spans="1:21">
      <c r="A497" t="s">
        <v>419</v>
      </c>
      <c r="B497" t="b">
        <f>LEN(TRIM(A497))=0</f>
        <v>0</v>
      </c>
      <c r="C497" t="b">
        <f>COUNTIF(A:A,A497)&gt;1</f>
        <v>1</v>
      </c>
      <c r="D497" t="s">
        <v>30</v>
      </c>
      <c r="E497" t="b">
        <f>LEN(TRIM(D497))=0</f>
        <v>0</v>
      </c>
      <c r="F497" t="b">
        <f>EXACT(D497,PROPER(D497))</f>
        <v>1</v>
      </c>
      <c r="H497" t="b">
        <f>LEN(TRIM(G497))=0</f>
        <v>1</v>
      </c>
      <c r="I497" t="s">
        <v>45</v>
      </c>
      <c r="J497" t="b">
        <f>EXACT(I497,PROPER(I497))</f>
        <v>1</v>
      </c>
      <c r="K497" t="s">
        <v>24</v>
      </c>
      <c r="L497" t="str">
        <f>TRIM(K497)</f>
        <v>HR</v>
      </c>
      <c r="M497" t="b">
        <f>K497&lt;&gt;L497</f>
        <v>0</v>
      </c>
      <c r="O497" t="b">
        <f>LEN(TRIM(N497))=0</f>
        <v>1</v>
      </c>
      <c r="P497" t="b">
        <f>AND(N497&gt;0, N497&lt;1000000)</f>
        <v>0</v>
      </c>
      <c r="Q497" t="s">
        <v>458</v>
      </c>
      <c r="R497" s="2" t="b">
        <f>LEN(TRIM(Q497))=0</f>
        <v>0</v>
      </c>
      <c r="S497" s="2" t="str">
        <f>IF(RIGHT(TRIM(Q497),9)="gmail.com","OK","Typo")</f>
        <v>OK</v>
      </c>
      <c r="T497" s="2" t="str">
        <f>A497&amp;D497&amp;G497&amp;I497&amp;K497&amp;N497&amp;Q497</f>
        <v>ZaraFemalePeshawarHRzara97@gmail.com</v>
      </c>
      <c r="U497" s="2" t="b">
        <f>COUNTIF(T:T,T497)&gt;1</f>
        <v>0</v>
      </c>
    </row>
    <row r="498" spans="1:21">
      <c r="A498" t="s">
        <v>419</v>
      </c>
      <c r="B498" t="b">
        <f>LEN(TRIM(A498))=0</f>
        <v>0</v>
      </c>
      <c r="C498" t="b">
        <f>COUNTIF(A:A,A498)&gt;1</f>
        <v>1</v>
      </c>
      <c r="D498" t="s">
        <v>30</v>
      </c>
      <c r="E498" t="b">
        <f>LEN(TRIM(D498))=0</f>
        <v>0</v>
      </c>
      <c r="F498" t="b">
        <f>EXACT(D498,PROPER(D498))</f>
        <v>1</v>
      </c>
      <c r="H498" t="b">
        <f>LEN(TRIM(G498))=0</f>
        <v>1</v>
      </c>
      <c r="I498" t="s">
        <v>23</v>
      </c>
      <c r="J498" t="b">
        <f>EXACT(I498,PROPER(I498))</f>
        <v>1</v>
      </c>
      <c r="K498" t="s">
        <v>35</v>
      </c>
      <c r="L498" t="str">
        <f>TRIM(K498)</f>
        <v>Marketing</v>
      </c>
      <c r="M498" t="b">
        <f>K498&lt;&gt;L498</f>
        <v>0</v>
      </c>
      <c r="N498">
        <v>141259.94</v>
      </c>
      <c r="O498" t="b">
        <f>LEN(TRIM(N498))=0</f>
        <v>0</v>
      </c>
      <c r="P498" t="b">
        <f>AND(N498&gt;0, N498&lt;1000000)</f>
        <v>1</v>
      </c>
      <c r="Q498" t="s">
        <v>459</v>
      </c>
      <c r="R498" s="2" t="b">
        <f>LEN(TRIM(Q498))=0</f>
        <v>0</v>
      </c>
      <c r="S498" s="2" t="str">
        <f>IF(RIGHT(TRIM(Q498),9)="gmail.com","OK","Typo")</f>
        <v>OK</v>
      </c>
      <c r="T498" s="2" t="str">
        <f>A498&amp;D498&amp;G498&amp;I498&amp;K498&amp;N498&amp;Q498</f>
        <v>ZaraFemaleQuettaMarketing141259.94zara98@gmail.com</v>
      </c>
      <c r="U498" s="2" t="b">
        <f>COUNTIF(T:T,T498)&gt;1</f>
        <v>0</v>
      </c>
    </row>
    <row r="499" spans="1:21">
      <c r="A499" t="s">
        <v>419</v>
      </c>
      <c r="B499" t="b">
        <f>LEN(TRIM(A499))=0</f>
        <v>0</v>
      </c>
      <c r="C499" t="b">
        <f>COUNTIF(A:A,A499)&gt;1</f>
        <v>1</v>
      </c>
      <c r="D499" t="s">
        <v>30</v>
      </c>
      <c r="E499" t="b">
        <f>LEN(TRIM(D499))=0</f>
        <v>0</v>
      </c>
      <c r="F499" t="b">
        <f>EXACT(D499,PROPER(D499))</f>
        <v>1</v>
      </c>
      <c r="H499" t="b">
        <f>LEN(TRIM(G499))=0</f>
        <v>1</v>
      </c>
      <c r="I499" t="s">
        <v>23</v>
      </c>
      <c r="J499" t="b">
        <f>EXACT(I499,PROPER(I499))</f>
        <v>1</v>
      </c>
      <c r="K499" t="s">
        <v>26</v>
      </c>
      <c r="L499" t="str">
        <f>TRIM(K499)</f>
        <v>HR</v>
      </c>
      <c r="M499" t="b">
        <f>K499&lt;&gt;L499</f>
        <v>1</v>
      </c>
      <c r="N499">
        <v>85984.23</v>
      </c>
      <c r="O499" t="b">
        <f>LEN(TRIM(N499))=0</f>
        <v>0</v>
      </c>
      <c r="P499" t="b">
        <f>AND(N499&gt;0, N499&lt;1000000)</f>
        <v>1</v>
      </c>
      <c r="Q499" t="s">
        <v>460</v>
      </c>
      <c r="R499" s="2" t="b">
        <f>LEN(TRIM(Q499))=0</f>
        <v>0</v>
      </c>
      <c r="S499" s="2" t="str">
        <f>IF(RIGHT(TRIM(Q499),9)="gmail.com","OK","Typo")</f>
        <v>OK</v>
      </c>
      <c r="T499" s="2" t="str">
        <f>A499&amp;D499&amp;G499&amp;I499&amp;K499&amp;N499&amp;Q499</f>
        <v>ZaraFemaleQuetta HR 85984.23zara99@gmail.com</v>
      </c>
      <c r="U499" s="2" t="b">
        <f>COUNTIF(T:T,T499)&gt;1</f>
        <v>0</v>
      </c>
    </row>
    <row r="500" spans="1:21">
      <c r="A500" t="s">
        <v>419</v>
      </c>
      <c r="B500" t="b">
        <f>LEN(TRIM(A500))=0</f>
        <v>0</v>
      </c>
      <c r="C500" t="b">
        <f>COUNTIF(A:A,A500)&gt;1</f>
        <v>1</v>
      </c>
      <c r="D500" t="s">
        <v>30</v>
      </c>
      <c r="E500" t="b">
        <f>LEN(TRIM(D500))=0</f>
        <v>0</v>
      </c>
      <c r="F500" t="b">
        <f>EXACT(D500,PROPER(D500))</f>
        <v>1</v>
      </c>
      <c r="G500">
        <v>45</v>
      </c>
      <c r="H500" t="b">
        <f>LEN(TRIM(G500))=0</f>
        <v>0</v>
      </c>
      <c r="I500" t="s">
        <v>23</v>
      </c>
      <c r="J500" t="b">
        <f>EXACT(I500,PROPER(I500))</f>
        <v>1</v>
      </c>
      <c r="K500" t="s">
        <v>38</v>
      </c>
      <c r="L500" t="str">
        <f>TRIM(K500)</f>
        <v>Sales</v>
      </c>
      <c r="M500" t="b">
        <f>K500&lt;&gt;L500</f>
        <v>0</v>
      </c>
      <c r="N500">
        <v>50212.98</v>
      </c>
      <c r="O500" t="b">
        <f>LEN(TRIM(N500))=0</f>
        <v>0</v>
      </c>
      <c r="P500" t="b">
        <f>AND(N500&gt;0, N500&lt;1000000)</f>
        <v>1</v>
      </c>
      <c r="Q500" t="s">
        <v>460</v>
      </c>
      <c r="R500" s="2" t="b">
        <f>LEN(TRIM(Q500))=0</f>
        <v>0</v>
      </c>
      <c r="S500" s="2" t="str">
        <f>IF(RIGHT(TRIM(Q500),9)="gmail.com","OK","Typo")</f>
        <v>OK</v>
      </c>
      <c r="T500" s="2" t="str">
        <f>A500&amp;D500&amp;G500&amp;I500&amp;K500&amp;N500&amp;Q500</f>
        <v>ZaraFemale45QuettaSales50212.98zara99@gmail.com</v>
      </c>
      <c r="U500" s="2" t="b">
        <f>COUNTIF(T:T,T500)&gt;1</f>
        <v>0</v>
      </c>
    </row>
    <row r="501" spans="1:21">
      <c r="A501" t="s">
        <v>419</v>
      </c>
      <c r="B501" t="b">
        <f>LEN(TRIM(A501))=0</f>
        <v>0</v>
      </c>
      <c r="C501" t="b">
        <f>COUNTIF(A:A,A501)&gt;1</f>
        <v>1</v>
      </c>
      <c r="D501" t="s">
        <v>30</v>
      </c>
      <c r="E501" t="b">
        <f>LEN(TRIM(D501))=0</f>
        <v>0</v>
      </c>
      <c r="F501" t="b">
        <f>EXACT(D501,PROPER(D501))</f>
        <v>1</v>
      </c>
      <c r="H501" t="b">
        <f>LEN(TRIM(G501))=0</f>
        <v>1</v>
      </c>
      <c r="I501" t="s">
        <v>28</v>
      </c>
      <c r="J501" t="b">
        <f>EXACT(I501,PROPER(I501))</f>
        <v>1</v>
      </c>
      <c r="K501" t="s">
        <v>24</v>
      </c>
      <c r="L501" t="str">
        <f>TRIM(K501)</f>
        <v>HR</v>
      </c>
      <c r="M501" t="b">
        <f>K501&lt;&gt;L501</f>
        <v>0</v>
      </c>
      <c r="O501" t="b">
        <f>LEN(TRIM(N501))=0</f>
        <v>1</v>
      </c>
      <c r="P501" t="b">
        <f>AND(N501&gt;0, N501&lt;1000000)</f>
        <v>0</v>
      </c>
      <c r="Q501" t="s">
        <v>460</v>
      </c>
      <c r="R501" s="2" t="b">
        <f>LEN(TRIM(Q501))=0</f>
        <v>0</v>
      </c>
      <c r="S501" s="2" t="str">
        <f>IF(RIGHT(TRIM(Q501),9)="gmail.com","OK","Typo")</f>
        <v>OK</v>
      </c>
      <c r="T501" s="2" t="str">
        <f>A501&amp;D501&amp;G501&amp;I501&amp;K501&amp;N501&amp;Q501</f>
        <v>ZaraFemaleKarachiHRzara99@gmail.com</v>
      </c>
      <c r="U501" s="2" t="b">
        <f>COUNTIF(T:T,T501)&gt;1</f>
        <v>0</v>
      </c>
    </row>
  </sheetData>
  <conditionalFormatting sqref="H2:H501 M2:M501 O2:O501">
    <cfRule type="expression" dxfId="23" priority="13">
      <formula>H2=TRUE</formula>
    </cfRule>
  </conditionalFormatting>
  <conditionalFormatting sqref="J2:J501">
    <cfRule type="expression" dxfId="22" priority="12">
      <formula>J2=FALSE</formula>
    </cfRule>
  </conditionalFormatting>
  <conditionalFormatting sqref="R2:R445">
    <cfRule type="expression" dxfId="21" priority="8">
      <formula>R2=TRUE</formula>
    </cfRule>
  </conditionalFormatting>
  <conditionalFormatting sqref="S2:S421">
    <cfRule type="expression" dxfId="20" priority="7">
      <formula>S2="Typo"</formula>
    </cfRule>
  </conditionalFormatting>
  <conditionalFormatting sqref="O1 O503:O1048162">
    <cfRule type="expression" dxfId="19" priority="6">
      <formula>O2="TRUE"</formula>
    </cfRule>
  </conditionalFormatting>
  <conditionalFormatting sqref="O1048163:O1048576">
    <cfRule type="expression" dxfId="18" priority="32">
      <formula>O1="TRUE"</formula>
    </cfRule>
  </conditionalFormatting>
  <conditionalFormatting sqref="O502">
    <cfRule type="expression" dxfId="17" priority="36">
      <formula>#REF!="TRUE"</formula>
    </cfRule>
  </conditionalFormatting>
  <conditionalFormatting sqref="P2:P501">
    <cfRule type="expression" dxfId="16" priority="4">
      <formula>P2=FALSE</formula>
    </cfRule>
  </conditionalFormatting>
  <conditionalFormatting sqref="C1:C1048576">
    <cfRule type="expression" dxfId="15" priority="2">
      <formula>C1=TRUE</formula>
    </cfRule>
  </conditionalFormatting>
  <conditionalFormatting sqref="Q1 Q502:Q1048576">
    <cfRule type="duplicateValues" dxfId="14" priority="37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2026-01-14T16:11:35Z</dcterms:created>
  <dcterms:modified xsi:type="dcterms:W3CDTF">2026-01-15T10:13:30Z</dcterms:modified>
  <cp:category/>
  <cp:contentStatus/>
</cp:coreProperties>
</file>